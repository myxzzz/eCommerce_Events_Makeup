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data_learn\eCommerce_Events_History\reports\"/>
    </mc:Choice>
  </mc:AlternateContent>
  <xr:revisionPtr revIDLastSave="0" documentId="13_ncr:1_{9089312B-6E67-4D01-9574-62A1442D8553}" xr6:coauthVersionLast="47" xr6:coauthVersionMax="47" xr10:uidLastSave="{00000000-0000-0000-0000-000000000000}"/>
  <bookViews>
    <workbookView xWindow="0" yWindow="2597" windowWidth="16157" windowHeight="8812" xr2:uid="{29AA0932-8B2D-4544-81C2-E986A52733B9}"/>
  </bookViews>
  <sheets>
    <sheet name="01_口径说明" sheetId="3" r:id="rId1"/>
    <sheet name="02_品牌明细表" sheetId="2" r:id="rId2"/>
    <sheet name="03_品牌数据透视表" sheetId="6" r:id="rId3"/>
  </sheets>
  <definedNames>
    <definedName name="ExternalData_1" localSheetId="1" hidden="1">'02_品牌明细表'!$A$1:$I$98</definedName>
    <definedName name="切片器_风险等级">#N/A</definedName>
    <definedName name="切片器_品牌象限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6" l="1"/>
  <c r="H5" i="6"/>
  <c r="H6" i="6"/>
  <c r="H7" i="6"/>
  <c r="K2" i="2" a="1"/>
  <c r="K2" i="2" s="1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52" i="2" a="1"/>
  <c r="K52" i="2" s="1"/>
  <c r="K53" i="2" a="1"/>
  <c r="K53" i="2" s="1"/>
  <c r="K69" i="2" a="1"/>
  <c r="K69" i="2" s="1"/>
  <c r="K54" i="2" a="1"/>
  <c r="K54" i="2" s="1"/>
  <c r="K55" i="2" a="1"/>
  <c r="K55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56" i="2" a="1"/>
  <c r="K56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57" i="2" a="1"/>
  <c r="K57" i="2" s="1"/>
  <c r="K58" i="2" a="1"/>
  <c r="K58" i="2" s="1"/>
  <c r="K84" i="2" a="1"/>
  <c r="K84" i="2" s="1"/>
  <c r="K85" i="2" a="1"/>
  <c r="K85" i="2" s="1"/>
  <c r="K59" i="2" a="1"/>
  <c r="K59" i="2" s="1"/>
  <c r="K86" i="2" a="1"/>
  <c r="K86" i="2" s="1"/>
  <c r="K87" i="2" a="1"/>
  <c r="K87" i="2" s="1"/>
  <c r="K88" i="2" a="1"/>
  <c r="K88" i="2" s="1"/>
  <c r="K60" i="2" a="1"/>
  <c r="K60" i="2" s="1"/>
  <c r="K89" i="2" a="1"/>
  <c r="K89" i="2" s="1"/>
  <c r="K90" i="2" a="1"/>
  <c r="K90" i="2" s="1"/>
  <c r="K91" i="2" a="1"/>
  <c r="K91" i="2" s="1"/>
  <c r="K61" i="2" a="1"/>
  <c r="K61" i="2" s="1"/>
  <c r="K92" i="2" a="1"/>
  <c r="K92" i="2" s="1"/>
  <c r="K62" i="2" a="1"/>
  <c r="K62" i="2" s="1"/>
  <c r="K93" i="2" a="1"/>
  <c r="K93" i="2" s="1"/>
  <c r="K94" i="2" a="1"/>
  <c r="K94" i="2" s="1"/>
  <c r="K63" i="2" a="1"/>
  <c r="K63" i="2" s="1"/>
  <c r="K95" i="2" a="1"/>
  <c r="K95" i="2" s="1"/>
  <c r="K96" i="2" a="1"/>
  <c r="K96" i="2" s="1"/>
  <c r="K97" i="2" a="1"/>
  <c r="K97" i="2" s="1"/>
  <c r="K98" i="2" a="1"/>
  <c r="K98" i="2" s="1"/>
  <c r="J7" i="2" a="1"/>
  <c r="J7" i="2" s="1"/>
  <c r="J2" i="2" a="1"/>
  <c r="J2" i="2" s="1"/>
  <c r="J3" i="2" a="1"/>
  <c r="J3" i="2" s="1"/>
  <c r="J4" i="2" a="1"/>
  <c r="J4" i="2" s="1"/>
  <c r="J5" i="2" a="1"/>
  <c r="J5" i="2" s="1"/>
  <c r="J6" i="2" a="1"/>
  <c r="J6" i="2" s="1"/>
  <c r="J8" i="2" a="1"/>
  <c r="J8" i="2" s="1"/>
  <c r="J9" i="2" a="1"/>
  <c r="J9" i="2" s="1"/>
  <c r="J10" i="2" a="1"/>
  <c r="J10" i="2" s="1"/>
  <c r="J11" i="2" a="1"/>
  <c r="J11" i="2"/>
  <c r="J12" i="2" a="1"/>
  <c r="J12" i="2" s="1"/>
  <c r="J13" i="2" a="1"/>
  <c r="J13" i="2" s="1"/>
  <c r="J14" i="2" a="1"/>
  <c r="J14" i="2" s="1"/>
  <c r="J15" i="2" a="1"/>
  <c r="J15" i="2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64" i="2" a="1"/>
  <c r="J64" i="2" s="1"/>
  <c r="J65" i="2" a="1"/>
  <c r="J65" i="2" s="1"/>
  <c r="J66" i="2" a="1"/>
  <c r="J66" i="2" s="1"/>
  <c r="J67" i="2" a="1"/>
  <c r="J67" i="2" s="1"/>
  <c r="J68" i="2" a="1"/>
  <c r="J68" i="2" s="1"/>
  <c r="J52" i="2" a="1"/>
  <c r="J52" i="2" s="1"/>
  <c r="J53" i="2" a="1"/>
  <c r="J53" i="2" s="1"/>
  <c r="J69" i="2" a="1"/>
  <c r="J69" i="2" s="1"/>
  <c r="J54" i="2" a="1"/>
  <c r="J54" i="2" s="1"/>
  <c r="J55" i="2" a="1"/>
  <c r="J55" i="2" s="1"/>
  <c r="J70" i="2" a="1"/>
  <c r="J70" i="2" s="1"/>
  <c r="J71" i="2" a="1"/>
  <c r="J71" i="2" s="1"/>
  <c r="J72" i="2" a="1"/>
  <c r="J72" i="2" s="1"/>
  <c r="J73" i="2" a="1"/>
  <c r="J73" i="2" s="1"/>
  <c r="J74" i="2" a="1"/>
  <c r="J74" i="2" s="1"/>
  <c r="J75" i="2" a="1"/>
  <c r="J75" i="2" s="1"/>
  <c r="J56" i="2" a="1"/>
  <c r="J56" i="2" s="1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J81" i="2" a="1"/>
  <c r="J81" i="2" s="1"/>
  <c r="J82" i="2" a="1"/>
  <c r="J82" i="2" s="1"/>
  <c r="J83" i="2" a="1"/>
  <c r="J83" i="2" s="1"/>
  <c r="J57" i="2" a="1"/>
  <c r="J57" i="2" s="1"/>
  <c r="J58" i="2" a="1"/>
  <c r="J58" i="2" s="1"/>
  <c r="J84" i="2" a="1"/>
  <c r="J84" i="2" s="1"/>
  <c r="J85" i="2" a="1"/>
  <c r="J85" i="2" s="1"/>
  <c r="J59" i="2" a="1"/>
  <c r="J59" i="2" s="1"/>
  <c r="J86" i="2" a="1"/>
  <c r="J86" i="2" s="1"/>
  <c r="J87" i="2" a="1"/>
  <c r="J87" i="2" s="1"/>
  <c r="J88" i="2" a="1"/>
  <c r="J88" i="2" s="1"/>
  <c r="J60" i="2" a="1"/>
  <c r="J60" i="2" s="1"/>
  <c r="J89" i="2" a="1"/>
  <c r="J89" i="2" s="1"/>
  <c r="J90" i="2" a="1"/>
  <c r="J90" i="2" s="1"/>
  <c r="J91" i="2" a="1"/>
  <c r="J91" i="2" s="1"/>
  <c r="J61" i="2" a="1"/>
  <c r="J61" i="2" s="1"/>
  <c r="J92" i="2" a="1"/>
  <c r="J92" i="2" s="1"/>
  <c r="J62" i="2" a="1"/>
  <c r="J62" i="2" s="1"/>
  <c r="J93" i="2" a="1"/>
  <c r="J93" i="2" s="1"/>
  <c r="J94" i="2" a="1"/>
  <c r="J94" i="2" s="1"/>
  <c r="J63" i="2" a="1"/>
  <c r="J63" i="2" s="1"/>
  <c r="J95" i="2" a="1"/>
  <c r="J95" i="2" s="1"/>
  <c r="J96" i="2" a="1"/>
  <c r="J96" i="2" s="1"/>
  <c r="J97" i="2" a="1"/>
  <c r="J97" i="2" s="1"/>
  <c r="J98" i="2" a="1"/>
  <c r="J9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5B2FE3-471E-498E-936B-E5BD1BE48A2A}" keepAlive="1" name="查询 - 11_brand_quadrant_matrix_window_48h" description="与工作簿中“11_brand_quadrant_matrix_window_48h”查询的连接。" type="5" refreshedVersion="8" background="1" saveData="1">
    <dbPr connection="Provider=Microsoft.Mashup.OleDb.1;Data Source=$Workbook$;Location=11_brand_quadrant_matrix_window_48h;Extended Properties=&quot;&quot;" command="SELECT * FROM [11_brand_quadrant_matrix_window_48h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<sst xmlns="http://schemas.openxmlformats.org/spreadsheetml/2006/main" count="282" uniqueCount="181">
  <si>
    <t>bpw.style</t>
  </si>
  <si>
    <t>核心健康品牌</t>
  </si>
  <si>
    <t>estel</t>
  </si>
  <si>
    <t>kapous</t>
  </si>
  <si>
    <t>italwax</t>
  </si>
  <si>
    <t>milv</t>
  </si>
  <si>
    <t>jessnail</t>
  </si>
  <si>
    <t>domix</t>
  </si>
  <si>
    <t>nagaraku</t>
  </si>
  <si>
    <t>zinger</t>
  </si>
  <si>
    <t>severina</t>
  </si>
  <si>
    <t>airnails</t>
  </si>
  <si>
    <t>yoko</t>
  </si>
  <si>
    <t>de.lux</t>
  </si>
  <si>
    <t>art-visage</t>
  </si>
  <si>
    <t>metzger</t>
  </si>
  <si>
    <t>browxenna</t>
  </si>
  <si>
    <t>farmstay</t>
  </si>
  <si>
    <t>smart</t>
  </si>
  <si>
    <t>dewal</t>
  </si>
  <si>
    <t>dizao</t>
  </si>
  <si>
    <t>kaaral</t>
  </si>
  <si>
    <t>潜力/普通长尾品牌</t>
  </si>
  <si>
    <t>benovy</t>
  </si>
  <si>
    <t>depilflax</t>
  </si>
  <si>
    <t>shary</t>
  </si>
  <si>
    <t>skinlite</t>
  </si>
  <si>
    <t>bioaqua</t>
  </si>
  <si>
    <t>levissime</t>
  </si>
  <si>
    <t>artex</t>
  </si>
  <si>
    <t>eunyul</t>
  </si>
  <si>
    <t>opi</t>
  </si>
  <si>
    <t>lador</t>
  </si>
  <si>
    <t>igrobeauty</t>
  </si>
  <si>
    <t>nitrimax</t>
  </si>
  <si>
    <t>estelare</t>
  </si>
  <si>
    <t>soleo</t>
  </si>
  <si>
    <t>jas</t>
  </si>
  <si>
    <t>farmavita</t>
  </si>
  <si>
    <t>thuya</t>
  </si>
  <si>
    <t>insight</t>
  </si>
  <si>
    <t>limoni</t>
  </si>
  <si>
    <t>provoc</t>
  </si>
  <si>
    <t>elskin</t>
  </si>
  <si>
    <t>happyfons</t>
  </si>
  <si>
    <t>missha</t>
  </si>
  <si>
    <t>lamixx</t>
  </si>
  <si>
    <t>marathon</t>
  </si>
  <si>
    <t>gehwol</t>
  </si>
  <si>
    <t>orly</t>
  </si>
  <si>
    <t>runail</t>
  </si>
  <si>
    <t>重点治理品牌</t>
  </si>
  <si>
    <t>irisk</t>
  </si>
  <si>
    <t>masura</t>
  </si>
  <si>
    <t>grattol</t>
  </si>
  <si>
    <t>ingarden</t>
  </si>
  <si>
    <t>pole</t>
  </si>
  <si>
    <t>bluesky</t>
  </si>
  <si>
    <t>uno</t>
  </si>
  <si>
    <t>freedecor</t>
  </si>
  <si>
    <t>haruyama</t>
  </si>
  <si>
    <t>concept</t>
  </si>
  <si>
    <t>cnd</t>
  </si>
  <si>
    <t>f.o.x</t>
  </si>
  <si>
    <t>cosmoprofi</t>
  </si>
  <si>
    <t>lovely</t>
  </si>
  <si>
    <t>dartnails</t>
  </si>
  <si>
    <t>lianail</t>
  </si>
  <si>
    <t>beautix</t>
  </si>
  <si>
    <t>staleks</t>
  </si>
  <si>
    <t>oniq</t>
  </si>
  <si>
    <t>uskusi</t>
  </si>
  <si>
    <t>pnb</t>
  </si>
  <si>
    <t>swarovski</t>
  </si>
  <si>
    <t>roubloff</t>
  </si>
  <si>
    <t>levrana</t>
  </si>
  <si>
    <t>kinetics</t>
  </si>
  <si>
    <t>solomeya</t>
  </si>
  <si>
    <t>rosi</t>
  </si>
  <si>
    <t>markell</t>
  </si>
  <si>
    <t>shik</t>
  </si>
  <si>
    <t>问题长尾品牌</t>
  </si>
  <si>
    <t>matrix</t>
  </si>
  <si>
    <t>refectocil</t>
  </si>
  <si>
    <t>beauty-free</t>
  </si>
  <si>
    <t>ecolab</t>
  </si>
  <si>
    <t>sophin</t>
  </si>
  <si>
    <t>ardell</t>
  </si>
  <si>
    <t>bodyton</t>
  </si>
  <si>
    <t>polarus</t>
  </si>
  <si>
    <t>strong</t>
  </si>
  <si>
    <t>dermal</t>
  </si>
  <si>
    <t>konad</t>
  </si>
  <si>
    <t>max</t>
  </si>
  <si>
    <t>kaypro</t>
  </si>
  <si>
    <t>enigma</t>
  </si>
  <si>
    <t>siberina</t>
  </si>
  <si>
    <t>zeitun</t>
  </si>
  <si>
    <t>entity</t>
  </si>
  <si>
    <t>kiss</t>
  </si>
  <si>
    <t>i-laq</t>
  </si>
  <si>
    <t>品牌</t>
    <phoneticPr fontId="1" type="noConversion"/>
  </si>
  <si>
    <t>品牌象限</t>
    <phoneticPr fontId="1" type="noConversion"/>
  </si>
  <si>
    <t>购买样本数</t>
    <phoneticPr fontId="1" type="noConversion"/>
  </si>
  <si>
    <t>移除样本数</t>
    <phoneticPr fontId="1" type="noConversion"/>
  </si>
  <si>
    <t>明确结果样本数</t>
    <phoneticPr fontId="1" type="noConversion"/>
  </si>
  <si>
    <t>明确结果购买率</t>
    <phoneticPr fontId="1" type="noConversion"/>
  </si>
  <si>
    <t>明确结果流失率</t>
    <phoneticPr fontId="1" type="noConversion"/>
  </si>
  <si>
    <t>C/A风险比</t>
    <phoneticPr fontId="1" type="noConversion"/>
  </si>
  <si>
    <t>品牌样本占比</t>
    <phoneticPr fontId="1" type="noConversion"/>
  </si>
  <si>
    <t>风险等级</t>
    <phoneticPr fontId="1" type="noConversion"/>
  </si>
  <si>
    <t>建议动作</t>
    <phoneticPr fontId="1" type="noConversion"/>
  </si>
  <si>
    <t>潜力/普通长尾品牌</t>
    <phoneticPr fontId="1" type="noConversion"/>
  </si>
  <si>
    <t>分析对象</t>
  </si>
  <si>
    <t>项目</t>
    <phoneticPr fontId="1" type="noConversion"/>
  </si>
  <si>
    <t>说明</t>
  </si>
  <si>
    <t>2019年12月化妆品电商用户行为数据</t>
  </si>
  <si>
    <t>分析粒度</t>
    <phoneticPr fontId="1" type="noConversion"/>
  </si>
  <si>
    <t>观察窗口</t>
  </si>
  <si>
    <t>样本范围</t>
  </si>
  <si>
    <t>样本口径</t>
  </si>
  <si>
    <t>分析目标</t>
  </si>
  <si>
    <t>识别高体量、高流失风险品牌，为品牌运营优先级提供参考</t>
    <phoneticPr fontId="1" type="noConversion"/>
  </si>
  <si>
    <t>只分析A组和C组组成的明确结果样本</t>
    <phoneticPr fontId="1" type="noConversion"/>
  </si>
  <si>
    <t>首次加购时间早于2019-12-30 00:00:00的记录</t>
  </si>
  <si>
    <t>用户首次加购后48小时内</t>
  </si>
  <si>
    <t>user_session × product_id</t>
  </si>
  <si>
    <t>指标</t>
  </si>
  <si>
    <t>口径</t>
  </si>
  <si>
    <t>A组</t>
  </si>
  <si>
    <t>B组</t>
  </si>
  <si>
    <t>C组</t>
  </si>
  <si>
    <t>明确结果样本</t>
  </si>
  <si>
    <t>明确结果购买率</t>
  </si>
  <si>
    <t>明确结果流失率</t>
  </si>
  <si>
    <t>C/A风险比</t>
  </si>
  <si>
    <t>品牌体量</t>
  </si>
  <si>
    <t>品牌象限</t>
  </si>
  <si>
    <t>加购后48小时内完成购买</t>
  </si>
  <si>
    <t>加购后48小时内未购买，也未主动移除</t>
  </si>
  <si>
    <t>加购后48小时内主动移出购物车，且未购买</t>
    <phoneticPr fontId="1" type="noConversion"/>
  </si>
  <si>
    <t>A组 + C组</t>
  </si>
  <si>
    <t>A ÷（A + C）</t>
  </si>
  <si>
    <t>C ÷（A + C）</t>
  </si>
  <si>
    <t>C数量 ÷ A数量</t>
  </si>
  <si>
    <t>品牌在明确结果样本中的占比</t>
  </si>
  <si>
    <t>根据品牌体量和C/A风险比划分运营优先级</t>
  </si>
  <si>
    <t>业务解释</t>
  </si>
  <si>
    <t>建议动作</t>
  </si>
  <si>
    <t>品牌体量较高，C/A风险相对较低</t>
  </si>
  <si>
    <t>增加曝光，保持供给稳定</t>
  </si>
  <si>
    <t>品牌体量较高，C/A风险较高</t>
  </si>
  <si>
    <t>优先排查价格、库存、详情页和评价</t>
  </si>
  <si>
    <t>潜力长尾品牌</t>
  </si>
  <si>
    <t>品牌体量较低，C/A风险较低</t>
  </si>
  <si>
    <t>小流量测试，观察是否能放量</t>
  </si>
  <si>
    <t>品牌体量较低，C/A风险较高</t>
  </si>
  <si>
    <t>降低资源优先级，暂不重点投放</t>
  </si>
  <si>
    <t>注意事项</t>
  </si>
  <si>
    <t>1. 本分析是描述性分析，用于识别品牌运营优先级，不直接证明因果关系。</t>
  </si>
  <si>
    <t>2. C/A风险比较高不一定代表品牌本身有问题，也可能受价格、库存、活动、商品结构等因素影响。</t>
  </si>
  <si>
    <t>3. 明确结果样本数较小的品牌，C/A风险比可能波动较大，解读时需要谨慎。</t>
  </si>
  <si>
    <t>电商购物车行为品牌分析：指标口径说明</t>
    <phoneticPr fontId="1" type="noConversion"/>
  </si>
  <si>
    <t>总计</t>
  </si>
  <si>
    <t>计数项:品牌</t>
  </si>
  <si>
    <t>求和项:购买样本数</t>
  </si>
  <si>
    <t>求和项:移除样本数</t>
  </si>
  <si>
    <t>求和项:明确结果样本数</t>
  </si>
  <si>
    <t>品牌数</t>
  </si>
  <si>
    <t>A购买样本数</t>
  </si>
  <si>
    <t>C移除样本数</t>
  </si>
  <si>
    <t>平均明确结果购买率</t>
  </si>
  <si>
    <t>平均C/A风险比</t>
  </si>
  <si>
    <t>明确结果样本总和</t>
  </si>
  <si>
    <t>样本加权购买率</t>
  </si>
  <si>
    <t>低风险</t>
  </si>
  <si>
    <t>高风险</t>
  </si>
  <si>
    <t>中风险</t>
  </si>
  <si>
    <t>中高风险</t>
  </si>
  <si>
    <t>品牌向量</t>
  </si>
  <si>
    <t>风险度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</si>
</sst>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%"/>
  </numFmts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2"/>
      <charset val="134"/>
      <scheme val="minor"/>
    </font>
    <font>
      <sz val="16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sz val="16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177" fontId="0" fillId="0" borderId="0" xfId="1" applyNumberFormat="1" applyFont="1">
      <alignment vertical="center"/>
    </xf>
    <xf numFmtId="0" fontId="7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11">
    <dxf>
      <numFmt numFmtId="2" formatCode="0.00"/>
    </dxf>
    <dxf>
      <numFmt numFmtId="177" formatCode="0.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 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eetMetadata" Target="metadata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380997</xdr:colOff>
      <xdr:row>13</xdr:row>
      <xdr:rowOff>163283</xdr:rowOff>
    </xdr:from>
    <xdr:to>
      <xdr:col>11</xdr:col>
      <xdr:colOff>119740</xdr:colOff>
      <xdr:row>26</xdr:row>
      <xdr:rowOff>66673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品牌象限">
              <a:extLst>
                <a:ext uri="{FF2B5EF4-FFF2-40B4-BE49-F238E27FC236}">
                  <a16:creationId xmlns:a16="http://schemas.microsoft.com/office/drawing/2014/main" id="{07FF4F22-EFD1-41ED-156B-E4F7F09AA0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品牌象限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7126" y="2498269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429984</xdr:colOff>
      <xdr:row>0</xdr:row>
      <xdr:rowOff>87087</xdr:rowOff>
    </xdr:from>
    <xdr:to>
      <xdr:col>11</xdr:col>
      <xdr:colOff>168727</xdr:colOff>
      <xdr:row>12</xdr:row>
      <xdr:rowOff>170091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风险等级">
              <a:extLst>
                <a:ext uri="{FF2B5EF4-FFF2-40B4-BE49-F238E27FC236}">
                  <a16:creationId xmlns:a16="http://schemas.microsoft.com/office/drawing/2014/main" id="{FF3A321A-97F6-7CF2-C7AB-DB583AA24A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风险等级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76113" y="87087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09.836952546299" createdVersion="8" refreshedVersion="8" minRefreshableVersion="3" recordCount="97" xr:uid="{0274BACF-B3DD-4763-8E9A-04C361910B93}">
  <cacheSource type="worksheet">
    <worksheetSource name="_11_brand_quadrant_matrix_window_48h"/>
  </cacheSource>
  <cacheFields count="11">
    <cacheField name="品牌" numFmtId="0">
      <sharedItems/>
    </cacheField>
    <cacheField name="品牌象限" numFmtId="0">
      <sharedItems count="4">
        <s v="核心健康品牌"/>
        <s v="潜力/普通长尾品牌"/>
        <s v="重点治理品牌"/>
        <s v="问题长尾品牌"/>
      </sharedItems>
    </cacheField>
    <cacheField name="购买样本数" numFmtId="0">
      <sharedItems containsSemiMixedTypes="0" containsString="0" containsNumber="1" containsInteger="1" minValue="26" maxValue="8305"/>
    </cacheField>
    <cacheField name="移除样本数" numFmtId="0">
      <sharedItems containsSemiMixedTypes="0" containsString="0" containsNumber="1" containsInteger="1" minValue="47" maxValue="11252"/>
    </cacheField>
    <cacheField name="明确结果样本数" numFmtId="0">
      <sharedItems containsSemiMixedTypes="0" containsString="0" containsNumber="1" containsInteger="1" minValue="100" maxValue="19557"/>
    </cacheField>
    <cacheField name="明确结果购买率" numFmtId="10">
      <sharedItems containsSemiMixedTypes="0" containsString="0" containsNumber="1" minValue="0.24550898203592814" maxValue="0.64772727272727271"/>
    </cacheField>
    <cacheField name="明确结果流失率" numFmtId="10">
      <sharedItems containsSemiMixedTypes="0" containsString="0" containsNumber="1" minValue="0.35227272727272729" maxValue="0.75449101796407181"/>
    </cacheField>
    <cacheField name="C/A风险比" numFmtId="176">
      <sharedItems containsSemiMixedTypes="0" containsString="0" containsNumber="1" minValue="0.54385964912280704" maxValue="3.0731707317073171"/>
    </cacheField>
    <cacheField name="品牌样本占比" numFmtId="10">
      <sharedItems containsSemiMixedTypes="0" containsString="0" containsNumber="1" minValue="3.8338707142117752E-4" maxValue="7.497900955783969E-2"/>
    </cacheField>
    <cacheField name="风险等级" numFmtId="10">
      <sharedItems count="4">
        <s v="低风险"/>
        <s v="中风险"/>
        <s v="高风险"/>
        <s v="中高风险"/>
      </sharedItems>
    </cacheField>
    <cacheField name="建议动作" numFmtId="10">
      <sharedItems/>
    </cacheField>
  </cacheFields>
  <extLst>
    <ext xmlns:x14="http://schemas.microsoft.com/office/spreadsheetml/2009/9/main" uri="{725AE2AE-9491-48be-B2B4-4EB974FC3084}">
      <x14:pivotCacheDefinition pivotCacheId="4004977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bpw.style"/>
    <x v="0"/>
    <n v="3046"/>
    <n v="2845"/>
    <n v="5891"/>
    <n v="0.51705992191478523"/>
    <n v="0.48294007808521472"/>
    <n v="0.93401181877872619"/>
    <n v="2.2585332377421569E-2"/>
    <x v="0"/>
    <s v="增加曝光，保持供给稳定"/>
  </r>
  <r>
    <s v="estel"/>
    <x v="0"/>
    <n v="2341"/>
    <n v="2938"/>
    <n v="5279"/>
    <n v="0.44345519984845616"/>
    <n v="0.55654480015154384"/>
    <n v="1.2550192225544639"/>
    <n v="2.0239003500323961E-2"/>
    <x v="1"/>
    <s v="增加曝光，保持供给稳定"/>
  </r>
  <r>
    <s v="kapous"/>
    <x v="0"/>
    <n v="1789"/>
    <n v="2234"/>
    <n v="4023"/>
    <n v="0.44469301516281384"/>
    <n v="0.55530698483718621"/>
    <n v="1.2487423141419787"/>
    <n v="1.5423661883273973E-2"/>
    <x v="1"/>
    <s v="增加曝光，保持供给稳定"/>
  </r>
  <r>
    <s v="italwax"/>
    <x v="0"/>
    <n v="1469"/>
    <n v="1409"/>
    <n v="2878"/>
    <n v="0.51042390548992356"/>
    <n v="0.48957609451007644"/>
    <n v="0.95915588835942822"/>
    <n v="1.1033879915501489E-2"/>
    <x v="0"/>
    <s v="增加曝光，保持供给稳定"/>
  </r>
  <r>
    <s v="milv"/>
    <x v="0"/>
    <n v="1050"/>
    <n v="1274"/>
    <n v="2324"/>
    <n v="0.45180722891566266"/>
    <n v="0.54819277108433739"/>
    <n v="1.2133333333333334"/>
    <n v="8.9099155398281657E-3"/>
    <x v="1"/>
    <s v="增加曝光，保持供给稳定"/>
  </r>
  <r>
    <s v="jessnail"/>
    <x v="0"/>
    <n v="1025"/>
    <n v="1203"/>
    <n v="2228"/>
    <n v="0.46005385996409337"/>
    <n v="0.53994614003590669"/>
    <n v="1.1736585365853658"/>
    <n v="8.5418639512638353E-3"/>
    <x v="1"/>
    <s v="增加曝光，保持供给稳定"/>
  </r>
  <r>
    <s v="domix"/>
    <x v="0"/>
    <n v="1070"/>
    <n v="1128"/>
    <n v="2198"/>
    <n v="0.48680618744313015"/>
    <n v="0.51319381255686991"/>
    <n v="1.0542056074766355"/>
    <n v="8.4268478298374829E-3"/>
    <x v="1"/>
    <s v="增加曝光，保持供给稳定"/>
  </r>
  <r>
    <s v="nagaraku"/>
    <x v="0"/>
    <n v="800"/>
    <n v="688"/>
    <n v="1488"/>
    <n v="0.5376344086021505"/>
    <n v="0.46236559139784944"/>
    <n v="0.86"/>
    <n v="5.7047996227471221E-3"/>
    <x v="0"/>
    <s v="增加曝光，保持供给稳定"/>
  </r>
  <r>
    <s v="zinger"/>
    <x v="0"/>
    <n v="676"/>
    <n v="742"/>
    <n v="1418"/>
    <n v="0.47672778561354018"/>
    <n v="0.52327221438645977"/>
    <n v="1.0976331360946745"/>
    <n v="5.4364286727522975E-3"/>
    <x v="1"/>
    <s v="增加曝光，保持供给稳定"/>
  </r>
  <r>
    <s v="severina"/>
    <x v="0"/>
    <n v="690"/>
    <n v="601"/>
    <n v="1291"/>
    <n v="0.53446940356312933"/>
    <n v="0.46553059643687067"/>
    <n v="0.87101449275362319"/>
    <n v="4.9495270920474023E-3"/>
    <x v="0"/>
    <s v="增加曝光，保持供给稳定"/>
  </r>
  <r>
    <s v="airnails"/>
    <x v="0"/>
    <n v="680"/>
    <n v="604"/>
    <n v="1284"/>
    <n v="0.52959501557632394"/>
    <n v="0.47040498442367601"/>
    <n v="0.88823529411764701"/>
    <n v="4.92268999704792E-3"/>
    <x v="0"/>
    <s v="增加曝光，保持供给稳定"/>
  </r>
  <r>
    <s v="yoko"/>
    <x v="0"/>
    <n v="557"/>
    <n v="691"/>
    <n v="1248"/>
    <n v="0.44631410256410259"/>
    <n v="0.55368589743589747"/>
    <n v="1.2405745062836624"/>
    <n v="4.7846706513362952E-3"/>
    <x v="1"/>
    <s v="增加曝光，保持供给稳定"/>
  </r>
  <r>
    <s v="de.lux"/>
    <x v="0"/>
    <n v="541"/>
    <n v="559"/>
    <n v="1100"/>
    <n v="0.49181818181818182"/>
    <n v="0.50818181818181818"/>
    <n v="1.033271719038817"/>
    <n v="4.2172577856329531E-3"/>
    <x v="1"/>
    <s v="增加曝光，保持供给稳定"/>
  </r>
  <r>
    <s v="art-visage"/>
    <x v="0"/>
    <n v="381"/>
    <n v="437"/>
    <n v="818"/>
    <n v="0.46577017114914426"/>
    <n v="0.53422982885085579"/>
    <n v="1.146981627296588"/>
    <n v="3.1361062442252321E-3"/>
    <x v="1"/>
    <s v="增加曝光，保持供给稳定"/>
  </r>
  <r>
    <s v="metzger"/>
    <x v="0"/>
    <n v="359"/>
    <n v="434"/>
    <n v="793"/>
    <n v="0.45271122320302648"/>
    <n v="0.54728877679697352"/>
    <n v="1.2089136490250696"/>
    <n v="3.0402594763699379E-3"/>
    <x v="1"/>
    <s v="增加曝光，保持供给稳定"/>
  </r>
  <r>
    <s v="browxenna"/>
    <x v="0"/>
    <n v="332"/>
    <n v="342"/>
    <n v="674"/>
    <n v="0.49258160237388726"/>
    <n v="0.50741839762611274"/>
    <n v="1.0301204819277108"/>
    <n v="2.5840288613787365E-3"/>
    <x v="1"/>
    <s v="增加曝光，保持供给稳定"/>
  </r>
  <r>
    <s v="farmstay"/>
    <x v="0"/>
    <n v="360"/>
    <n v="309"/>
    <n v="669"/>
    <n v="0.53811659192825112"/>
    <n v="0.46188340807174888"/>
    <n v="0.85833333333333328"/>
    <n v="2.5648595078076779E-3"/>
    <x v="0"/>
    <s v="增加曝光，保持供给稳定"/>
  </r>
  <r>
    <s v="smart"/>
    <x v="0"/>
    <n v="266"/>
    <n v="327"/>
    <n v="593"/>
    <n v="0.44856661045531199"/>
    <n v="0.55143338954468801"/>
    <n v="1.2293233082706767"/>
    <n v="2.2734853335275827E-3"/>
    <x v="1"/>
    <s v="增加曝光，保持供给稳定"/>
  </r>
  <r>
    <s v="dewal"/>
    <x v="0"/>
    <n v="267"/>
    <n v="302"/>
    <n v="569"/>
    <n v="0.46924428822495606"/>
    <n v="0.53075571177504388"/>
    <n v="1.1310861423220975"/>
    <n v="2.1814724363865001E-3"/>
    <x v="1"/>
    <s v="增加曝光，保持供给稳定"/>
  </r>
  <r>
    <s v="dizao"/>
    <x v="0"/>
    <n v="257"/>
    <n v="223"/>
    <n v="480"/>
    <n v="0.53541666666666665"/>
    <n v="0.46458333333333335"/>
    <n v="0.86770428015564205"/>
    <n v="1.8402579428216522E-3"/>
    <x v="0"/>
    <s v="增加曝光，保持供给稳定"/>
  </r>
  <r>
    <s v="kaaral"/>
    <x v="1"/>
    <n v="235"/>
    <n v="227"/>
    <n v="462"/>
    <n v="0.5086580086580087"/>
    <n v="0.49134199134199136"/>
    <n v="0.96595744680851059"/>
    <n v="1.7712482699658403E-3"/>
    <x v="0"/>
    <s v="小流量测试，观察是否能放量"/>
  </r>
  <r>
    <s v="benovy"/>
    <x v="1"/>
    <n v="200"/>
    <n v="241"/>
    <n v="441"/>
    <n v="0.45351473922902497"/>
    <n v="0.54648526077097503"/>
    <n v="1.2050000000000001"/>
    <n v="1.690736984967393E-3"/>
    <x v="1"/>
    <s v="小流量测试，观察是否能放量"/>
  </r>
  <r>
    <s v="depilflax"/>
    <x v="1"/>
    <n v="205"/>
    <n v="193"/>
    <n v="398"/>
    <n v="0.51507537688442206"/>
    <n v="0.48492462311557788"/>
    <n v="0.94146341463414629"/>
    <n v="1.5258805442562866E-3"/>
    <x v="0"/>
    <s v="小流量测试，观察是否能放量"/>
  </r>
  <r>
    <s v="shary"/>
    <x v="1"/>
    <n v="202"/>
    <n v="158"/>
    <n v="360"/>
    <n v="0.56111111111111112"/>
    <n v="0.43888888888888888"/>
    <n v="0.78217821782178221"/>
    <n v="1.3801934571162392E-3"/>
    <x v="0"/>
    <s v="小流量测试，观察是否能放量"/>
  </r>
  <r>
    <s v="skinlite"/>
    <x v="1"/>
    <n v="151"/>
    <n v="176"/>
    <n v="327"/>
    <n v="0.46177370030581039"/>
    <n v="0.53822629969418956"/>
    <n v="1.1655629139072847"/>
    <n v="1.2536757235472506E-3"/>
    <x v="1"/>
    <s v="小流量测试，观察是否能放量"/>
  </r>
  <r>
    <s v="bioaqua"/>
    <x v="1"/>
    <n v="141"/>
    <n v="176"/>
    <n v="317"/>
    <n v="0.44479495268138802"/>
    <n v="0.55520504731861198"/>
    <n v="1.24822695035461"/>
    <n v="1.2153370164051328E-3"/>
    <x v="1"/>
    <s v="小流量测试，观察是否能放量"/>
  </r>
  <r>
    <s v="levissime"/>
    <x v="1"/>
    <n v="161"/>
    <n v="127"/>
    <n v="288"/>
    <n v="0.55902777777777779"/>
    <n v="0.44097222222222221"/>
    <n v="0.78881987577639756"/>
    <n v="1.1041547656929912E-3"/>
    <x v="0"/>
    <s v="小流量测试，观察是否能放量"/>
  </r>
  <r>
    <s v="artex"/>
    <x v="1"/>
    <n v="121"/>
    <n v="139"/>
    <n v="260"/>
    <n v="0.4653846153846154"/>
    <n v="0.5346153846153846"/>
    <n v="1.1487603305785123"/>
    <n v="9.9680638569506165E-4"/>
    <x v="1"/>
    <s v="小流量测试，观察是否能放量"/>
  </r>
  <r>
    <s v="eunyul"/>
    <x v="1"/>
    <n v="140"/>
    <n v="115"/>
    <n v="255"/>
    <n v="0.5490196078431373"/>
    <n v="0.45098039215686275"/>
    <n v="0.8214285714285714"/>
    <n v="9.7763703212400263E-4"/>
    <x v="0"/>
    <s v="小流量测试，观察是否能放量"/>
  </r>
  <r>
    <s v="opi"/>
    <x v="1"/>
    <n v="132"/>
    <n v="120"/>
    <n v="252"/>
    <n v="0.52380952380952384"/>
    <n v="0.47619047619047616"/>
    <n v="0.90909090909090906"/>
    <n v="9.6613541998136741E-4"/>
    <x v="0"/>
    <s v="小流量测试，观察是否能放量"/>
  </r>
  <r>
    <s v="lador"/>
    <x v="1"/>
    <n v="122"/>
    <n v="128"/>
    <n v="250"/>
    <n v="0.48799999999999999"/>
    <n v="0.51200000000000001"/>
    <n v="1.0491803278688525"/>
    <n v="9.5846767855294382E-4"/>
    <x v="1"/>
    <s v="小流量测试，观察是否能放量"/>
  </r>
  <r>
    <s v="igrobeauty"/>
    <x v="1"/>
    <n v="113"/>
    <n v="123"/>
    <n v="236"/>
    <n v="0.4788135593220339"/>
    <n v="0.52118644067796616"/>
    <n v="1.0884955752212389"/>
    <n v="9.0479348855397894E-4"/>
    <x v="1"/>
    <s v="小流量测试，观察是否能放量"/>
  </r>
  <r>
    <s v="nitrimax"/>
    <x v="1"/>
    <n v="95"/>
    <n v="116"/>
    <n v="211"/>
    <n v="0.45023696682464454"/>
    <n v="0.54976303317535546"/>
    <n v="1.2210526315789474"/>
    <n v="8.089467206986846E-4"/>
    <x v="1"/>
    <s v="小流量测试，观察是否能放量"/>
  </r>
  <r>
    <s v="estelare"/>
    <x v="1"/>
    <n v="114"/>
    <n v="83"/>
    <n v="197"/>
    <n v="0.57868020304568524"/>
    <n v="0.42131979695431471"/>
    <n v="0.72807017543859653"/>
    <n v="7.5527253069971971E-4"/>
    <x v="0"/>
    <s v="小流量测试，观察是否能放量"/>
  </r>
  <r>
    <s v="soleo"/>
    <x v="1"/>
    <n v="109"/>
    <n v="74"/>
    <n v="183"/>
    <n v="0.59562841530054644"/>
    <n v="0.40437158469945356"/>
    <n v="0.67889908256880738"/>
    <n v="7.0159834070075493E-4"/>
    <x v="0"/>
    <s v="小流量测试，观察是否能放量"/>
  </r>
  <r>
    <s v="jas"/>
    <x v="1"/>
    <n v="114"/>
    <n v="62"/>
    <n v="176"/>
    <n v="0.64772727272727271"/>
    <n v="0.35227272727272729"/>
    <n v="0.54385964912280704"/>
    <n v="6.7476124570127244E-4"/>
    <x v="0"/>
    <s v="小流量测试，观察是否能放量"/>
  </r>
  <r>
    <s v="farmavita"/>
    <x v="1"/>
    <n v="88"/>
    <n v="86"/>
    <n v="174"/>
    <n v="0.50574712643678166"/>
    <n v="0.4942528735632184"/>
    <n v="0.97727272727272729"/>
    <n v="6.6709350427284896E-4"/>
    <x v="0"/>
    <s v="小流量测试，观察是否能放量"/>
  </r>
  <r>
    <s v="thuya"/>
    <x v="1"/>
    <n v="74"/>
    <n v="85"/>
    <n v="159"/>
    <n v="0.46540880503144655"/>
    <n v="0.53459119496855345"/>
    <n v="1.1486486486486487"/>
    <n v="6.0958544355967233E-4"/>
    <x v="1"/>
    <s v="小流量测试，观察是否能放量"/>
  </r>
  <r>
    <s v="insight"/>
    <x v="1"/>
    <n v="81"/>
    <n v="75"/>
    <n v="156"/>
    <n v="0.51923076923076927"/>
    <n v="0.48076923076923078"/>
    <n v="0.92592592592592593"/>
    <n v="5.980838314170369E-4"/>
    <x v="0"/>
    <s v="小流量测试，观察是否能放量"/>
  </r>
  <r>
    <s v="limoni"/>
    <x v="1"/>
    <n v="69"/>
    <n v="87"/>
    <n v="156"/>
    <n v="0.44230769230769229"/>
    <n v="0.55769230769230771"/>
    <n v="1.2608695652173914"/>
    <n v="5.980838314170369E-4"/>
    <x v="1"/>
    <s v="小流量测试，观察是否能放量"/>
  </r>
  <r>
    <s v="provoc"/>
    <x v="1"/>
    <n v="70"/>
    <n v="86"/>
    <n v="156"/>
    <n v="0.44871794871794873"/>
    <n v="0.55128205128205132"/>
    <n v="1.2285714285714286"/>
    <n v="5.980838314170369E-4"/>
    <x v="1"/>
    <s v="小流量测试，观察是否能放量"/>
  </r>
  <r>
    <s v="elskin"/>
    <x v="1"/>
    <n v="84"/>
    <n v="62"/>
    <n v="146"/>
    <n v="0.57534246575342463"/>
    <n v="0.42465753424657532"/>
    <n v="0.73809523809523814"/>
    <n v="5.5974512427491919E-4"/>
    <x v="0"/>
    <s v="小流量测试，观察是否能放量"/>
  </r>
  <r>
    <s v="happyfons"/>
    <x v="1"/>
    <n v="67"/>
    <n v="66"/>
    <n v="133"/>
    <n v="0.50375939849624063"/>
    <n v="0.49624060150375937"/>
    <n v="0.9850746268656716"/>
    <n v="5.0990480499016615E-4"/>
    <x v="0"/>
    <s v="小流量测试，观察是否能放量"/>
  </r>
  <r>
    <s v="missha"/>
    <x v="1"/>
    <n v="61"/>
    <n v="67"/>
    <n v="128"/>
    <n v="0.4765625"/>
    <n v="0.5234375"/>
    <n v="1.098360655737705"/>
    <n v="4.9073545141910724E-4"/>
    <x v="1"/>
    <s v="小流量测试，观察是否能放量"/>
  </r>
  <r>
    <s v="lamixx"/>
    <x v="1"/>
    <n v="60"/>
    <n v="61"/>
    <n v="121"/>
    <n v="0.49586776859504134"/>
    <n v="0.50413223140495866"/>
    <n v="1.0166666666666666"/>
    <n v="4.6389835641962479E-4"/>
    <x v="1"/>
    <s v="小流量测试，观察是否能放量"/>
  </r>
  <r>
    <s v="marathon"/>
    <x v="1"/>
    <n v="57"/>
    <n v="59"/>
    <n v="116"/>
    <n v="0.49137931034482757"/>
    <n v="0.50862068965517238"/>
    <n v="1.0350877192982457"/>
    <n v="4.4472900284856594E-4"/>
    <x v="1"/>
    <s v="小流量测试，观察是否能放量"/>
  </r>
  <r>
    <s v="gehwol"/>
    <x v="1"/>
    <n v="57"/>
    <n v="47"/>
    <n v="104"/>
    <n v="0.54807692307692313"/>
    <n v="0.45192307692307693"/>
    <n v="0.82456140350877194"/>
    <n v="3.9872255427802464E-4"/>
    <x v="0"/>
    <s v="小流量测试，观察是否能放量"/>
  </r>
  <r>
    <s v="orly"/>
    <x v="1"/>
    <n v="47"/>
    <n v="53"/>
    <n v="100"/>
    <n v="0.47"/>
    <n v="0.53"/>
    <n v="1.1276595744680851"/>
    <n v="3.8338707142117752E-4"/>
    <x v="1"/>
    <s v="小流量测试，观察是否能放量"/>
  </r>
  <r>
    <s v="runail"/>
    <x v="2"/>
    <n v="8305"/>
    <n v="11252"/>
    <n v="19557"/>
    <n v="0.42465613335378638"/>
    <n v="0.57534386664621362"/>
    <n v="1.354846478025286"/>
    <n v="7.497900955783969E-2"/>
    <x v="1"/>
    <s v="优先排查价格、库存、详情页和评价"/>
  </r>
  <r>
    <s v="irisk"/>
    <x v="2"/>
    <n v="4838"/>
    <n v="6666"/>
    <n v="11504"/>
    <n v="0.42054937413073712"/>
    <n v="0.57945062586926288"/>
    <n v="1.3778420835055809"/>
    <n v="4.4104848696292262E-2"/>
    <x v="1"/>
    <s v="优先排查价格、库存、详情页和评价"/>
  </r>
  <r>
    <s v="uno"/>
    <x v="2"/>
    <n v="1329"/>
    <n v="1943"/>
    <n v="3272"/>
    <n v="0.40617359413202936"/>
    <n v="0.59382640586797064"/>
    <n v="1.4620015048908954"/>
    <n v="1.2544424976900928E-2"/>
    <x v="1"/>
    <s v="优先排查价格、库存、详情页和评价"/>
  </r>
  <r>
    <s v="freedecor"/>
    <x v="2"/>
    <n v="1104"/>
    <n v="1452"/>
    <n v="2556"/>
    <n v="0.431924882629108"/>
    <n v="0.568075117370892"/>
    <n v="1.3152173913043479"/>
    <n v="9.7993735455252987E-3"/>
    <x v="1"/>
    <s v="优先排查价格、库存、详情页和评价"/>
  </r>
  <r>
    <s v="concept"/>
    <x v="2"/>
    <n v="948"/>
    <n v="1203"/>
    <n v="2151"/>
    <n v="0.44072524407252439"/>
    <n v="0.55927475592747555"/>
    <n v="1.268987341772152"/>
    <n v="8.2466559062695285E-3"/>
    <x v="1"/>
    <s v="优先排查价格、库存、详情页和评价"/>
  </r>
  <r>
    <s v="cnd"/>
    <x v="2"/>
    <n v="815"/>
    <n v="1093"/>
    <n v="1908"/>
    <n v="0.42714884696016769"/>
    <n v="0.57285115303983225"/>
    <n v="1.3411042944785276"/>
    <n v="7.3150253227160676E-3"/>
    <x v="1"/>
    <s v="优先排查价格、库存、详情页和评价"/>
  </r>
  <r>
    <s v="staleks"/>
    <x v="2"/>
    <n v="518"/>
    <n v="710"/>
    <n v="1228"/>
    <n v="0.42182410423452771"/>
    <n v="0.57817589576547235"/>
    <n v="1.3706563706563706"/>
    <n v="4.70799323705206E-3"/>
    <x v="1"/>
    <s v="优先排查价格、库存、详情页和评价"/>
  </r>
  <r>
    <s v="rosi"/>
    <x v="2"/>
    <n v="218"/>
    <n v="282"/>
    <n v="500"/>
    <n v="0.436"/>
    <n v="0.56399999999999995"/>
    <n v="1.2935779816513762"/>
    <n v="1.9169353571058876E-3"/>
    <x v="1"/>
    <s v="优先排查价格、库存、详情页和评价"/>
  </r>
  <r>
    <s v="markell"/>
    <x v="2"/>
    <n v="194"/>
    <n v="279"/>
    <n v="473"/>
    <n v="0.41014799154334036"/>
    <n v="0.58985200845665964"/>
    <n v="1.4381443298969072"/>
    <n v="1.8134208478221697E-3"/>
    <x v="1"/>
    <s v="优先排查价格、库存、详情页和评价"/>
  </r>
  <r>
    <s v="refectocil"/>
    <x v="3"/>
    <n v="155"/>
    <n v="198"/>
    <n v="353"/>
    <n v="0.43909348441926344"/>
    <n v="0.56090651558073656"/>
    <n v="1.2774193548387096"/>
    <n v="1.3533563621167567E-3"/>
    <x v="1"/>
    <s v="降低资源优先级，暂不重点投放"/>
  </r>
  <r>
    <s v="ardell"/>
    <x v="3"/>
    <n v="88"/>
    <n v="131"/>
    <n v="219"/>
    <n v="0.40182648401826482"/>
    <n v="0.59817351598173518"/>
    <n v="1.4886363636363635"/>
    <n v="8.3961768641237884E-4"/>
    <x v="1"/>
    <s v="降低资源优先级，暂不重点投放"/>
  </r>
  <r>
    <s v="dermal"/>
    <x v="3"/>
    <n v="71"/>
    <n v="102"/>
    <n v="173"/>
    <n v="0.41040462427745666"/>
    <n v="0.58959537572254339"/>
    <n v="1.4366197183098592"/>
    <n v="6.6325963355863711E-4"/>
    <x v="1"/>
    <s v="降低资源优先级，暂不重点投放"/>
  </r>
  <r>
    <s v="max"/>
    <x v="3"/>
    <n v="69"/>
    <n v="96"/>
    <n v="165"/>
    <n v="0.41818181818181815"/>
    <n v="0.58181818181818179"/>
    <n v="1.3913043478260869"/>
    <n v="6.3258866784494298E-4"/>
    <x v="1"/>
    <s v="降低资源优先级，暂不重点投放"/>
  </r>
  <r>
    <s v="siberina"/>
    <x v="3"/>
    <n v="49"/>
    <n v="68"/>
    <n v="117"/>
    <n v="0.41880341880341881"/>
    <n v="0.58119658119658124"/>
    <n v="1.3877551020408163"/>
    <n v="4.4856287356277773E-4"/>
    <x v="1"/>
    <s v="降低资源优先级，暂不重点投放"/>
  </r>
  <r>
    <s v="masura"/>
    <x v="2"/>
    <n v="3236"/>
    <n v="7473"/>
    <n v="10709"/>
    <n v="0.30217574003174902"/>
    <n v="0.69782425996825104"/>
    <n v="2.3093325092707047"/>
    <n v="4.10569214784939E-2"/>
    <x v="2"/>
    <s v="优先排查价格、库存、详情页和评价"/>
  </r>
  <r>
    <s v="grattol"/>
    <x v="2"/>
    <n v="4060"/>
    <n v="6514"/>
    <n v="10574"/>
    <n v="0.38396065821827124"/>
    <n v="0.61603934178172881"/>
    <n v="1.6044334975369459"/>
    <n v="4.0539348932075316E-2"/>
    <x v="3"/>
    <s v="优先排查价格、库存、详情页和评价"/>
  </r>
  <r>
    <s v="ingarden"/>
    <x v="2"/>
    <n v="1931"/>
    <n v="3077"/>
    <n v="5008"/>
    <n v="0.38558306709265178"/>
    <n v="0.61441693290734822"/>
    <n v="1.5934748834800621"/>
    <n v="1.920002453677257E-2"/>
    <x v="3"/>
    <s v="优先排查价格、库存、详情页和评价"/>
  </r>
  <r>
    <s v="pole"/>
    <x v="2"/>
    <n v="1557"/>
    <n v="2995"/>
    <n v="4552"/>
    <n v="0.34204745166959577"/>
    <n v="0.65795254833040417"/>
    <n v="1.9235709698137444"/>
    <n v="1.7451779491092001E-2"/>
    <x v="3"/>
    <s v="优先排查价格、库存、详情页和评价"/>
  </r>
  <r>
    <s v="bluesky"/>
    <x v="2"/>
    <n v="1022"/>
    <n v="2412"/>
    <n v="3434"/>
    <n v="0.29761211415259176"/>
    <n v="0.7023878858474083"/>
    <n v="2.360078277886497"/>
    <n v="1.3165512032603237E-2"/>
    <x v="2"/>
    <s v="优先排查价格、库存、详情页和评价"/>
  </r>
  <r>
    <s v="haruyama"/>
    <x v="2"/>
    <n v="813"/>
    <n v="1727"/>
    <n v="2540"/>
    <n v="0.32007874015748033"/>
    <n v="0.67992125984251972"/>
    <n v="2.124231242312423"/>
    <n v="9.7380316140979091E-3"/>
    <x v="2"/>
    <s v="优先排查价格、库存、详情页和评价"/>
  </r>
  <r>
    <s v="f.o.x"/>
    <x v="2"/>
    <n v="433"/>
    <n v="1006"/>
    <n v="1439"/>
    <n v="0.30090340514246006"/>
    <n v="0.69909659485753994"/>
    <n v="2.323325635103926"/>
    <n v="5.5169399577507444E-3"/>
    <x v="2"/>
    <s v="优先排查价格、库存、详情页和评价"/>
  </r>
  <r>
    <s v="cosmoprofi"/>
    <x v="2"/>
    <n v="395"/>
    <n v="1022"/>
    <n v="1417"/>
    <n v="0.27875793930839804"/>
    <n v="0.72124206069160202"/>
    <n v="2.5873417721518988"/>
    <n v="5.4325948020380859E-3"/>
    <x v="2"/>
    <s v="优先排查价格、库存、详情页和评价"/>
  </r>
  <r>
    <s v="lovely"/>
    <x v="2"/>
    <n v="552"/>
    <n v="839"/>
    <n v="1391"/>
    <n v="0.3968368080517613"/>
    <n v="0.60316319194823864"/>
    <n v="1.519927536231884"/>
    <n v="5.3329141634685792E-3"/>
    <x v="3"/>
    <s v="优先排查价格、库存、详情页和评价"/>
  </r>
  <r>
    <s v="dartnails"/>
    <x v="2"/>
    <n v="411"/>
    <n v="895"/>
    <n v="1306"/>
    <n v="0.31470137825421135"/>
    <n v="0.68529862174578871"/>
    <n v="2.1776155717761556"/>
    <n v="5.0070351527605785E-3"/>
    <x v="2"/>
    <s v="优先排查价格、库存、详情页和评价"/>
  </r>
  <r>
    <s v="lianail"/>
    <x v="2"/>
    <n v="478"/>
    <n v="807"/>
    <n v="1285"/>
    <n v="0.37198443579766538"/>
    <n v="0.62801556420233462"/>
    <n v="1.6882845188284519"/>
    <n v="4.9265238677621316E-3"/>
    <x v="3"/>
    <s v="优先排查价格、库存、详情页和评价"/>
  </r>
  <r>
    <s v="beautix"/>
    <x v="2"/>
    <n v="391"/>
    <n v="865"/>
    <n v="1256"/>
    <n v="0.31130573248407645"/>
    <n v="0.68869426751592355"/>
    <n v="2.2122762148337598"/>
    <n v="4.81534161704999E-3"/>
    <x v="2"/>
    <s v="优先排查价格、库存、详情页和评价"/>
  </r>
  <r>
    <s v="oniq"/>
    <x v="2"/>
    <n v="296"/>
    <n v="820"/>
    <n v="1116"/>
    <n v="0.26523297491039427"/>
    <n v="0.73476702508960579"/>
    <n v="2.7702702702702702"/>
    <n v="4.2785997170603409E-3"/>
    <x v="2"/>
    <s v="优先排查价格、库存、详情页和评价"/>
  </r>
  <r>
    <s v="uskusi"/>
    <x v="2"/>
    <n v="309"/>
    <n v="748"/>
    <n v="1057"/>
    <n v="0.29233680227057712"/>
    <n v="0.70766319772942288"/>
    <n v="2.4207119741100325"/>
    <n v="4.0524013449218469E-3"/>
    <x v="2"/>
    <s v="优先排查价格、库存、详情页和评价"/>
  </r>
  <r>
    <s v="pnb"/>
    <x v="2"/>
    <n v="323"/>
    <n v="660"/>
    <n v="983"/>
    <n v="0.32858596134282808"/>
    <n v="0.67141403865717197"/>
    <n v="2.0433436532507741"/>
    <n v="3.768694912070175E-3"/>
    <x v="2"/>
    <s v="优先排查价格、库存、详情页和评价"/>
  </r>
  <r>
    <s v="swarovski"/>
    <x v="2"/>
    <n v="351"/>
    <n v="583"/>
    <n v="934"/>
    <n v="0.37580299785867238"/>
    <n v="0.62419700214132767"/>
    <n v="1.6609686609686609"/>
    <n v="3.5808352470737981E-3"/>
    <x v="3"/>
    <s v="优先排查价格、库存、详情页和评价"/>
  </r>
  <r>
    <s v="roubloff"/>
    <x v="2"/>
    <n v="299"/>
    <n v="519"/>
    <n v="818"/>
    <n v="0.36552567237163813"/>
    <n v="0.63447432762836187"/>
    <n v="1.7357859531772575"/>
    <n v="3.1361062442252321E-3"/>
    <x v="3"/>
    <s v="优先排查价格、库存、详情页和评价"/>
  </r>
  <r>
    <s v="levrana"/>
    <x v="2"/>
    <n v="270"/>
    <n v="410"/>
    <n v="680"/>
    <n v="0.39705882352941174"/>
    <n v="0.6029411764705882"/>
    <n v="1.5185185185185186"/>
    <n v="2.6070320856640072E-3"/>
    <x v="3"/>
    <s v="优先排查价格、库存、详情页和评价"/>
  </r>
  <r>
    <s v="kinetics"/>
    <x v="2"/>
    <n v="212"/>
    <n v="422"/>
    <n v="634"/>
    <n v="0.33438485804416401"/>
    <n v="0.66561514195583593"/>
    <n v="1.9905660377358489"/>
    <n v="2.4306740328102656E-3"/>
    <x v="3"/>
    <s v="优先排查价格、库存、详情页和评价"/>
  </r>
  <r>
    <s v="solomeya"/>
    <x v="2"/>
    <n v="239"/>
    <n v="395"/>
    <n v="634"/>
    <n v="0.37697160883280756"/>
    <n v="0.62302839116719244"/>
    <n v="1.6527196652719665"/>
    <n v="2.4306740328102656E-3"/>
    <x v="3"/>
    <s v="优先排查价格、库存、详情页和评价"/>
  </r>
  <r>
    <s v="shik"/>
    <x v="3"/>
    <n v="164"/>
    <n v="248"/>
    <n v="412"/>
    <n v="0.39805825242718446"/>
    <n v="0.60194174757281549"/>
    <n v="1.5121951219512195"/>
    <n v="1.5795547342552514E-3"/>
    <x v="3"/>
    <s v="降低资源优先级，暂不重点投放"/>
  </r>
  <r>
    <s v="matrix"/>
    <x v="3"/>
    <n v="131"/>
    <n v="229"/>
    <n v="360"/>
    <n v="0.36388888888888887"/>
    <n v="0.63611111111111107"/>
    <n v="1.748091603053435"/>
    <n v="1.3801934571162392E-3"/>
    <x v="3"/>
    <s v="降低资源优先级，暂不重点投放"/>
  </r>
  <r>
    <s v="beauty-free"/>
    <x v="3"/>
    <n v="82"/>
    <n v="252"/>
    <n v="334"/>
    <n v="0.24550898203592814"/>
    <n v="0.75449101796407181"/>
    <n v="3.0731707317073171"/>
    <n v="1.2805128185467329E-3"/>
    <x v="2"/>
    <s v="降低资源优先级，暂不重点投放"/>
  </r>
  <r>
    <s v="ecolab"/>
    <x v="3"/>
    <n v="124"/>
    <n v="192"/>
    <n v="316"/>
    <n v="0.39240506329113922"/>
    <n v="0.60759493670886078"/>
    <n v="1.5483870967741935"/>
    <n v="1.211503145690921E-3"/>
    <x v="3"/>
    <s v="降低资源优先级，暂不重点投放"/>
  </r>
  <r>
    <s v="sophin"/>
    <x v="3"/>
    <n v="105"/>
    <n v="180"/>
    <n v="285"/>
    <n v="0.36842105263157893"/>
    <n v="0.63157894736842102"/>
    <n v="1.7142857142857142"/>
    <n v="1.0926531535503559E-3"/>
    <x v="3"/>
    <s v="降低资源优先级，暂不重点投放"/>
  </r>
  <r>
    <s v="bodyton"/>
    <x v="3"/>
    <n v="73"/>
    <n v="112"/>
    <n v="185"/>
    <n v="0.39459459459459462"/>
    <n v="0.60540540540540544"/>
    <n v="1.5342465753424657"/>
    <n v="7.0926608212917841E-4"/>
    <x v="3"/>
    <s v="降低资源优先级，暂不重点投放"/>
  </r>
  <r>
    <s v="polarus"/>
    <x v="3"/>
    <n v="64"/>
    <n v="113"/>
    <n v="177"/>
    <n v="0.3615819209039548"/>
    <n v="0.6384180790960452"/>
    <n v="1.765625"/>
    <n v="6.7859511641548428E-4"/>
    <x v="3"/>
    <s v="降低资源优先级，暂不重点投放"/>
  </r>
  <r>
    <s v="strong"/>
    <x v="3"/>
    <n v="68"/>
    <n v="107"/>
    <n v="175"/>
    <n v="0.38857142857142857"/>
    <n v="0.61142857142857143"/>
    <n v="1.5735294117647058"/>
    <n v="6.709273749870607E-4"/>
    <x v="3"/>
    <s v="降低资源优先级，暂不重点投放"/>
  </r>
  <r>
    <s v="konad"/>
    <x v="3"/>
    <n v="52"/>
    <n v="119"/>
    <n v="171"/>
    <n v="0.30409356725146197"/>
    <n v="0.69590643274853803"/>
    <n v="2.2884615384615383"/>
    <n v="6.5559189213021363E-4"/>
    <x v="2"/>
    <s v="降低资源优先级，暂不重点投放"/>
  </r>
  <r>
    <s v="kaypro"/>
    <x v="3"/>
    <n v="55"/>
    <n v="102"/>
    <n v="157"/>
    <n v="0.3503184713375796"/>
    <n v="0.64968152866242035"/>
    <n v="1.8545454545454545"/>
    <n v="6.0191770213124875E-4"/>
    <x v="3"/>
    <s v="降低资源优先级，暂不重点投放"/>
  </r>
  <r>
    <s v="enigma"/>
    <x v="3"/>
    <n v="41"/>
    <n v="92"/>
    <n v="133"/>
    <n v="0.30827067669172931"/>
    <n v="0.69172932330827064"/>
    <n v="2.2439024390243905"/>
    <n v="5.0990480499016615E-4"/>
    <x v="2"/>
    <s v="降低资源优先级，暂不重点投放"/>
  </r>
  <r>
    <s v="zeitun"/>
    <x v="3"/>
    <n v="42"/>
    <n v="73"/>
    <n v="115"/>
    <n v="0.36521739130434783"/>
    <n v="0.63478260869565217"/>
    <n v="1.7380952380952381"/>
    <n v="4.4089513213435414E-4"/>
    <x v="3"/>
    <s v="降低资源优先级，暂不重点投放"/>
  </r>
  <r>
    <s v="entity"/>
    <x v="3"/>
    <n v="36"/>
    <n v="76"/>
    <n v="112"/>
    <n v="0.32142857142857145"/>
    <n v="0.6785714285714286"/>
    <n v="2.1111111111111112"/>
    <n v="4.2939351999171882E-4"/>
    <x v="2"/>
    <s v="降低资源优先级，暂不重点投放"/>
  </r>
  <r>
    <s v="kiss"/>
    <x v="3"/>
    <n v="41"/>
    <n v="64"/>
    <n v="105"/>
    <n v="0.39047619047619048"/>
    <n v="0.60952380952380958"/>
    <n v="1.5609756097560976"/>
    <n v="4.0255642499223643E-4"/>
    <x v="3"/>
    <s v="降低资源优先级，暂不重点投放"/>
  </r>
  <r>
    <s v="i-laq"/>
    <x v="3"/>
    <n v="26"/>
    <n v="76"/>
    <n v="102"/>
    <n v="0.25490196078431371"/>
    <n v="0.74509803921568629"/>
    <n v="2.9230769230769229"/>
    <n v="3.9105481284960111E-4"/>
    <x v="2"/>
    <s v="降低资源优先级，暂不重点投放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D7589-D397-40FB-A583-111AD53C2489}" name="数据透视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风险度">
  <location ref="A11:E16" firstHeaderRow="0" firstDataRow="1" firstDataCol="1"/>
  <pivotFields count="11">
    <pivotField dataField="1" showAll="0"/>
    <pivotField showAll="0">
      <items count="5">
        <item x="0"/>
        <item x="1"/>
        <item x="3"/>
        <item x="2"/>
        <item t="default"/>
      </items>
    </pivotField>
    <pivotField dataField="1" showAll="0"/>
    <pivotField dataField="1" showAll="0"/>
    <pivotField dataField="1" showAll="0"/>
    <pivotField numFmtId="10" showAll="0"/>
    <pivotField numFmtId="10" showAll="0"/>
    <pivotField numFmtId="176" showAll="0"/>
    <pivotField numFmtId="10"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计数项:品牌" fld="0" subtotal="count" baseField="0" baseItem="0"/>
    <dataField name="求和项:购买样本数" fld="2" baseField="0" baseItem="0"/>
    <dataField name="求和项:移除样本数" fld="3" baseField="0" baseItem="0"/>
    <dataField name="求和项:明确结果样本数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799E8-A0AE-48E0-9B09-F4D4BFDED4C5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 rowHeaderCaption="品牌向量">
  <location ref="A3:G8" firstHeaderRow="0" firstDataRow="1" firstDataCol="1"/>
  <pivotFields count="11">
    <pivotField dataField="1" showAll="0"/>
    <pivotField axis="axisRow" showAll="0">
      <items count="5">
        <item x="0"/>
        <item x="1"/>
        <item x="3"/>
        <item x="2"/>
        <item t="default"/>
      </items>
    </pivotField>
    <pivotField dataField="1" showAll="0"/>
    <pivotField dataField="1" showAll="0"/>
    <pivotField dataField="1" showAll="0"/>
    <pivotField dataField="1" numFmtId="10" showAll="0"/>
    <pivotField numFmtId="10" showAll="0"/>
    <pivotField dataField="1" numFmtId="176" showAll="0"/>
    <pivotField numFmtId="10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品牌数" fld="0" subtotal="count" baseField="0" baseItem="0"/>
    <dataField name="A购买样本数" fld="2" baseField="0" baseItem="0"/>
    <dataField name="C移除样本数" fld="3" baseField="0" baseItem="0"/>
    <dataField name="明确结果样本总和" fld="4" baseField="0" baseItem="0"/>
    <dataField name="平均明确结果购买率" fld="5" subtotal="average" baseField="1" baseItem="0" numFmtId="177"/>
    <dataField name="平均C/A风险比" fld="7" subtotal="average" baseField="1" baseItem="0" numFmtId="2"/>
  </dataFields>
  <formats count="2">
    <format dxfId="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3C1973-ACD2-4556-B1D3-0EB55C3DEF54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brand_clean" tableColumnId="1"/>
      <queryTableField id="2" name="quadrant" tableColumnId="2"/>
      <queryTableField id="3" name="A_count" tableColumnId="3"/>
      <queryTableField id="4" name="C_count" tableColumnId="4"/>
      <queryTableField id="5" name="clear_outcome_count" tableColumnId="5"/>
      <queryTableField id="6" name="ac_purchase_share" tableColumnId="6"/>
      <queryTableField id="7" name="ac_loss_share" tableColumnId="7"/>
      <queryTableField id="8" name="c_to_a_ratio" tableColumnId="8"/>
      <queryTableField id="9" name="brand_share_in_clear_outcome" tableColumnId="9"/>
      <queryTableField id="10" dataBound="0" tableColumnId="10"/>
      <queryTableField id="11" dataBound="0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品牌象限" xr10:uid="{2806C2DF-849C-4701-A461-1E6DF88C425F}" sourceName="品牌象限">
  <pivotTables>
    <pivotTable tabId="6" name="数据透视表3"/>
  </pivotTables>
  <data>
    <tabular pivotCacheId="400497737">
      <items count="4">
        <i x="0" s="1"/>
        <i x="1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风险等级" xr10:uid="{345A8005-E936-4530-BEFD-E416E55A2079}" sourceName="风险等级">
  <pivotTables>
    <pivotTable tabId="6" name="数据透视表3"/>
  </pivotTables>
  <data>
    <tabular pivotCacheId="400497737">
      <items count="4">
        <i x="0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品牌象限" xr10:uid="{CCEC7C86-2E0B-43C1-A3C9-CCB10BD3E201}" cache="切片器_品牌象限" caption="品牌象限" rowHeight="209550"/>
  <slicer name="风险等级" xr10:uid="{F9961F36-DA1F-4F05-A721-1B4488181DE9}" cache="切片器_风险等级" caption="风险等级" rowHeight="2095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EFCFB-AC34-49B2-915A-CCC8677AA599}" name="_11_brand_quadrant_matrix_window_48h" displayName="_11_brand_quadrant_matrix_window_48h" ref="A1:K98" tableType="queryTable" totalsRowShown="0">
  <autoFilter ref="A1:K98" xr:uid="{BF1EFCFB-AC34-49B2-915A-CCC8677AA599}"/>
  <sortState xmlns:xlrd2="http://schemas.microsoft.com/office/spreadsheetml/2017/richdata2" ref="A2:K98">
    <sortCondition sortBy="fontColor" ref="H1:H98" dxfId="10"/>
  </sortState>
  <tableColumns count="11">
    <tableColumn id="1" xr3:uid="{B58A5175-FE37-4AAC-A64B-4D40765B45DF}" uniqueName="1" name="品牌" queryTableFieldId="1" dataDxfId="9"/>
    <tableColumn id="2" xr3:uid="{9E263678-C0E7-42A2-8B5A-C4F3F8A20BE1}" uniqueName="2" name="品牌象限" queryTableFieldId="2" dataDxfId="8"/>
    <tableColumn id="3" xr3:uid="{61781CF9-8AE5-460E-9AB5-3DA7F8AAD63D}" uniqueName="3" name="购买样本数" queryTableFieldId="3"/>
    <tableColumn id="4" xr3:uid="{DAA3AFB6-E1E1-4B2A-848A-B495091526DC}" uniqueName="4" name="移除样本数" queryTableFieldId="4"/>
    <tableColumn id="5" xr3:uid="{3667800E-064A-48D8-BFCA-E47285F9EE50}" uniqueName="5" name="明确结果样本数" queryTableFieldId="5"/>
    <tableColumn id="6" xr3:uid="{EA1EEB77-C0C8-40DC-9749-B10363F3C6C7}" uniqueName="6" name="明确结果购买率" queryTableFieldId="6" dataDxfId="7" dataCellStyle="百分比"/>
    <tableColumn id="7" xr3:uid="{B91AB658-EF6D-48D6-8C52-100EC1E540D4}" uniqueName="7" name="明确结果流失率" queryTableFieldId="7" dataDxfId="6" dataCellStyle="百分比"/>
    <tableColumn id="8" xr3:uid="{1ED02AF5-36D2-434B-BF07-CF53D4AFA43A}" uniqueName="8" name="C/A风险比" queryTableFieldId="8" dataDxfId="5"/>
    <tableColumn id="9" xr3:uid="{3715B333-A94F-4F6A-8211-9A4B3073EB8D}" uniqueName="9" name="品牌样本占比" queryTableFieldId="9" dataDxfId="4" dataCellStyle="百分比"/>
    <tableColumn id="10" xr3:uid="{24558A3F-1FC8-4305-BE92-0D8E399B8B72}" uniqueName="10" name="风险等级" queryTableFieldId="10" dataDxfId="3" dataCellStyle="百分比">
      <calculatedColumnFormula array="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calculatedColumnFormula>
    </tableColumn>
    <tableColumn id="11" xr3:uid="{D849E3CB-FF70-4BFE-AE48-F36A434307D8}" uniqueName="11" name="建议动作" queryTableFieldId="11" dataDxfId="2" dataCellStyle="百分比">
      <calculatedColumnFormula array="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E066-D5EC-4B3B-811C-08F28E03CD7F}">
  <dimension ref="A1:G31"/>
  <sheetViews>
    <sheetView tabSelected="1" workbookViewId="0">
      <selection activeCell="D2" sqref="D2"/>
    </sheetView>
  </sheetViews>
  <sheetFormatPr defaultRowHeight="14.15"/>
  <cols>
    <col min="1" max="1" width="14.42578125" bestFit="1" customWidth="1"/>
    <col min="2" max="2" width="8.5703125" bestFit="1" customWidth="1"/>
    <col min="3" max="3" width="51.92578125" bestFit="1" customWidth="1"/>
  </cols>
  <sheetData>
    <row r="1" spans="1:7" ht="21.9">
      <c r="A1" s="16" t="s">
        <v>162</v>
      </c>
      <c r="B1" s="16"/>
      <c r="C1" s="16"/>
      <c r="D1" s="5"/>
      <c r="E1" s="5"/>
      <c r="F1" s="5"/>
      <c r="G1" s="5"/>
    </row>
    <row r="3" spans="1:7">
      <c r="A3" s="7" t="s">
        <v>114</v>
      </c>
      <c r="C3" s="7" t="s">
        <v>115</v>
      </c>
    </row>
    <row r="4" spans="1:7">
      <c r="A4" t="s">
        <v>113</v>
      </c>
      <c r="C4" t="s">
        <v>116</v>
      </c>
    </row>
    <row r="5" spans="1:7">
      <c r="A5" t="s">
        <v>117</v>
      </c>
      <c r="C5" t="s">
        <v>126</v>
      </c>
    </row>
    <row r="6" spans="1:7">
      <c r="A6" t="s">
        <v>118</v>
      </c>
      <c r="C6" t="s">
        <v>125</v>
      </c>
    </row>
    <row r="7" spans="1:7">
      <c r="A7" t="s">
        <v>119</v>
      </c>
      <c r="C7" t="s">
        <v>124</v>
      </c>
    </row>
    <row r="8" spans="1:7">
      <c r="A8" t="s">
        <v>120</v>
      </c>
      <c r="C8" t="s">
        <v>123</v>
      </c>
    </row>
    <row r="9" spans="1:7">
      <c r="A9" t="s">
        <v>121</v>
      </c>
      <c r="C9" t="s">
        <v>122</v>
      </c>
    </row>
    <row r="11" spans="1:7">
      <c r="A11" s="6" t="s">
        <v>127</v>
      </c>
      <c r="C11" s="7" t="s">
        <v>128</v>
      </c>
    </row>
    <row r="12" spans="1:7">
      <c r="A12" t="s">
        <v>129</v>
      </c>
      <c r="C12" t="s">
        <v>138</v>
      </c>
    </row>
    <row r="13" spans="1:7">
      <c r="A13" t="s">
        <v>130</v>
      </c>
      <c r="C13" t="s">
        <v>139</v>
      </c>
    </row>
    <row r="14" spans="1:7">
      <c r="A14" t="s">
        <v>131</v>
      </c>
      <c r="C14" t="s">
        <v>140</v>
      </c>
    </row>
    <row r="15" spans="1:7">
      <c r="A15" t="s">
        <v>132</v>
      </c>
      <c r="C15" t="s">
        <v>141</v>
      </c>
    </row>
    <row r="16" spans="1:7">
      <c r="A16" t="s">
        <v>133</v>
      </c>
      <c r="C16" t="s">
        <v>142</v>
      </c>
    </row>
    <row r="17" spans="1:3">
      <c r="A17" t="s">
        <v>134</v>
      </c>
      <c r="C17" t="s">
        <v>143</v>
      </c>
    </row>
    <row r="18" spans="1:3">
      <c r="A18" t="s">
        <v>135</v>
      </c>
      <c r="C18" t="s">
        <v>144</v>
      </c>
    </row>
    <row r="19" spans="1:3">
      <c r="A19" t="s">
        <v>136</v>
      </c>
      <c r="C19" t="s">
        <v>145</v>
      </c>
    </row>
    <row r="20" spans="1:3">
      <c r="A20" t="s">
        <v>137</v>
      </c>
      <c r="C20" t="s">
        <v>146</v>
      </c>
    </row>
    <row r="22" spans="1:3">
      <c r="A22" s="6" t="s">
        <v>137</v>
      </c>
      <c r="B22" s="6" t="s">
        <v>147</v>
      </c>
      <c r="C22" s="6" t="s">
        <v>148</v>
      </c>
    </row>
    <row r="23" spans="1:3" ht="56.6">
      <c r="A23" s="9" t="s">
        <v>1</v>
      </c>
      <c r="B23" s="9" t="s">
        <v>149</v>
      </c>
      <c r="C23" s="9" t="s">
        <v>150</v>
      </c>
    </row>
    <row r="24" spans="1:3" ht="56.6">
      <c r="A24" s="9" t="s">
        <v>51</v>
      </c>
      <c r="B24" s="9" t="s">
        <v>151</v>
      </c>
      <c r="C24" s="9" t="s">
        <v>152</v>
      </c>
    </row>
    <row r="25" spans="1:3" ht="56.6">
      <c r="A25" s="9" t="s">
        <v>153</v>
      </c>
      <c r="B25" s="9" t="s">
        <v>154</v>
      </c>
      <c r="C25" s="9" t="s">
        <v>155</v>
      </c>
    </row>
    <row r="26" spans="1:3" ht="56.6">
      <c r="A26" s="9" t="s">
        <v>81</v>
      </c>
      <c r="B26" s="9" t="s">
        <v>156</v>
      </c>
      <c r="C26" s="9" t="s">
        <v>157</v>
      </c>
    </row>
    <row r="28" spans="1:3">
      <c r="A28" s="8" t="s">
        <v>158</v>
      </c>
    </row>
    <row r="29" spans="1:3">
      <c r="A29" t="s">
        <v>159</v>
      </c>
    </row>
    <row r="30" spans="1:3">
      <c r="A30" t="s">
        <v>160</v>
      </c>
    </row>
    <row r="31" spans="1:3">
      <c r="A31" t="s">
        <v>161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21BB-9D90-407F-9CF2-05B37EE6975E}">
  <dimension ref="A1:K98"/>
  <sheetViews>
    <sheetView topLeftCell="A34" zoomScale="85" zoomScaleNormal="85" workbookViewId="0">
      <selection activeCell="Q87" sqref="Q87"/>
    </sheetView>
  </sheetViews>
  <sheetFormatPr defaultRowHeight="14.15"/>
  <cols>
    <col min="1" max="1" width="13.640625" bestFit="1" customWidth="1"/>
    <col min="2" max="2" width="17.140625" bestFit="1" customWidth="1"/>
    <col min="3" max="3" width="10" bestFit="1" customWidth="1"/>
    <col min="4" max="4" width="9.92578125" bestFit="1" customWidth="1"/>
    <col min="5" max="5" width="21.7109375" bestFit="1" customWidth="1"/>
    <col min="6" max="6" width="19.28515625" style="2" bestFit="1" customWidth="1"/>
    <col min="7" max="7" width="14.5703125" style="2" bestFit="1" customWidth="1"/>
    <col min="8" max="8" width="13.28515625" style="3" bestFit="1" customWidth="1"/>
    <col min="9" max="9" width="14.640625" customWidth="1"/>
    <col min="10" max="10" width="10.28515625" customWidth="1"/>
    <col min="11" max="11" width="26.85546875" customWidth="1"/>
  </cols>
  <sheetData>
    <row r="1" spans="1:11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s="2" t="s">
        <v>106</v>
      </c>
      <c r="G1" s="2" t="s">
        <v>107</v>
      </c>
      <c r="H1" s="3" t="s">
        <v>108</v>
      </c>
      <c r="I1" t="s">
        <v>109</v>
      </c>
      <c r="J1" s="4" t="s">
        <v>110</v>
      </c>
      <c r="K1" t="s">
        <v>111</v>
      </c>
    </row>
    <row r="2" spans="1:11">
      <c r="A2" s="1" t="s">
        <v>0</v>
      </c>
      <c r="B2" s="1" t="s">
        <v>1</v>
      </c>
      <c r="C2">
        <v>3046</v>
      </c>
      <c r="D2">
        <v>2845</v>
      </c>
      <c r="E2">
        <v>5891</v>
      </c>
      <c r="F2" s="2">
        <v>0.51705992191478523</v>
      </c>
      <c r="G2" s="2">
        <v>0.48294007808521472</v>
      </c>
      <c r="H2" s="3">
        <v>0.93401181877872619</v>
      </c>
      <c r="I2" s="2">
        <v>2.2585332377421569E-2</v>
      </c>
      <c r="J2" s="2" t="str" cm="1">
        <f t="array" ref="J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2" s="2" t="str" cm="1">
        <f t="array" ref="K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3" spans="1:11">
      <c r="A3" s="1" t="s">
        <v>2</v>
      </c>
      <c r="B3" s="1" t="s">
        <v>1</v>
      </c>
      <c r="C3">
        <v>2341</v>
      </c>
      <c r="D3">
        <v>2938</v>
      </c>
      <c r="E3">
        <v>5279</v>
      </c>
      <c r="F3" s="2">
        <v>0.44345519984845616</v>
      </c>
      <c r="G3" s="2">
        <v>0.55654480015154384</v>
      </c>
      <c r="H3" s="3">
        <v>1.2550192225544639</v>
      </c>
      <c r="I3" s="2">
        <v>2.0239003500323961E-2</v>
      </c>
      <c r="J3" s="2" t="str" cm="1">
        <f t="array" ref="J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3" s="2" t="str" cm="1">
        <f t="array" ref="K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4" spans="1:11">
      <c r="A4" s="1" t="s">
        <v>3</v>
      </c>
      <c r="B4" s="1" t="s">
        <v>1</v>
      </c>
      <c r="C4">
        <v>1789</v>
      </c>
      <c r="D4">
        <v>2234</v>
      </c>
      <c r="E4">
        <v>4023</v>
      </c>
      <c r="F4" s="2">
        <v>0.44469301516281384</v>
      </c>
      <c r="G4" s="2">
        <v>0.55530698483718621</v>
      </c>
      <c r="H4" s="3">
        <v>1.2487423141419787</v>
      </c>
      <c r="I4" s="2">
        <v>1.5423661883273973E-2</v>
      </c>
      <c r="J4" s="2" t="str" cm="1">
        <f t="array" ref="J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4" s="2" t="str" cm="1">
        <f t="array" ref="K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5" spans="1:11">
      <c r="A5" s="1" t="s">
        <v>4</v>
      </c>
      <c r="B5" s="1" t="s">
        <v>1</v>
      </c>
      <c r="C5">
        <v>1469</v>
      </c>
      <c r="D5">
        <v>1409</v>
      </c>
      <c r="E5">
        <v>2878</v>
      </c>
      <c r="F5" s="2">
        <v>0.51042390548992356</v>
      </c>
      <c r="G5" s="2">
        <v>0.48957609451007644</v>
      </c>
      <c r="H5" s="3">
        <v>0.95915588835942822</v>
      </c>
      <c r="I5" s="2">
        <v>1.1033879915501489E-2</v>
      </c>
      <c r="J5" s="2" t="str" cm="1">
        <f t="array" ref="J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5" s="2" t="str" cm="1">
        <f t="array" ref="K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6" spans="1:11">
      <c r="A6" s="1" t="s">
        <v>5</v>
      </c>
      <c r="B6" s="1" t="s">
        <v>1</v>
      </c>
      <c r="C6">
        <v>1050</v>
      </c>
      <c r="D6">
        <v>1274</v>
      </c>
      <c r="E6">
        <v>2324</v>
      </c>
      <c r="F6" s="2">
        <v>0.45180722891566266</v>
      </c>
      <c r="G6" s="2">
        <v>0.54819277108433739</v>
      </c>
      <c r="H6" s="3">
        <v>1.2133333333333334</v>
      </c>
      <c r="I6" s="2">
        <v>8.9099155398281657E-3</v>
      </c>
      <c r="J6" s="2" t="str" cm="1">
        <f t="array" ref="J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6" s="2" t="str" cm="1">
        <f t="array" ref="K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7" spans="1:11">
      <c r="A7" s="1" t="s">
        <v>6</v>
      </c>
      <c r="B7" s="1" t="s">
        <v>1</v>
      </c>
      <c r="C7">
        <v>1025</v>
      </c>
      <c r="D7">
        <v>1203</v>
      </c>
      <c r="E7">
        <v>2228</v>
      </c>
      <c r="F7" s="2">
        <v>0.46005385996409337</v>
      </c>
      <c r="G7" s="2">
        <v>0.53994614003590669</v>
      </c>
      <c r="H7" s="3">
        <v>1.1736585365853658</v>
      </c>
      <c r="I7" s="2">
        <v>8.5418639512638353E-3</v>
      </c>
      <c r="J7" s="2" t="str" cm="1">
        <f t="array" ref="J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7" s="2" t="str" cm="1">
        <f t="array" ref="K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8" spans="1:11">
      <c r="A8" s="1" t="s">
        <v>7</v>
      </c>
      <c r="B8" s="1" t="s">
        <v>1</v>
      </c>
      <c r="C8">
        <v>1070</v>
      </c>
      <c r="D8">
        <v>1128</v>
      </c>
      <c r="E8">
        <v>2198</v>
      </c>
      <c r="F8" s="2">
        <v>0.48680618744313015</v>
      </c>
      <c r="G8" s="2">
        <v>0.51319381255686991</v>
      </c>
      <c r="H8" s="3">
        <v>1.0542056074766355</v>
      </c>
      <c r="I8" s="2">
        <v>8.4268478298374829E-3</v>
      </c>
      <c r="J8" s="2" t="str" cm="1">
        <f t="array" ref="J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8" s="2" t="str" cm="1">
        <f t="array" ref="K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9" spans="1:11">
      <c r="A9" s="1" t="s">
        <v>8</v>
      </c>
      <c r="B9" s="1" t="s">
        <v>1</v>
      </c>
      <c r="C9">
        <v>800</v>
      </c>
      <c r="D9">
        <v>688</v>
      </c>
      <c r="E9">
        <v>1488</v>
      </c>
      <c r="F9" s="2">
        <v>0.5376344086021505</v>
      </c>
      <c r="G9" s="2">
        <v>0.46236559139784944</v>
      </c>
      <c r="H9" s="3">
        <v>0.86</v>
      </c>
      <c r="I9" s="2">
        <v>5.7047996227471221E-3</v>
      </c>
      <c r="J9" s="2" t="str" cm="1">
        <f t="array" ref="J9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9" s="2" t="str" cm="1">
        <f t="array" ref="K9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0" spans="1:11">
      <c r="A10" s="1" t="s">
        <v>9</v>
      </c>
      <c r="B10" s="1" t="s">
        <v>1</v>
      </c>
      <c r="C10">
        <v>676</v>
      </c>
      <c r="D10">
        <v>742</v>
      </c>
      <c r="E10">
        <v>1418</v>
      </c>
      <c r="F10" s="2">
        <v>0.47672778561354018</v>
      </c>
      <c r="G10" s="2">
        <v>0.52327221438645977</v>
      </c>
      <c r="H10" s="3">
        <v>1.0976331360946745</v>
      </c>
      <c r="I10" s="2">
        <v>5.4364286727522975E-3</v>
      </c>
      <c r="J10" s="2" t="str" cm="1">
        <f t="array" ref="J10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10" s="2" t="str" cm="1">
        <f t="array" ref="K10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1" spans="1:11">
      <c r="A11" s="1" t="s">
        <v>10</v>
      </c>
      <c r="B11" s="1" t="s">
        <v>1</v>
      </c>
      <c r="C11">
        <v>690</v>
      </c>
      <c r="D11">
        <v>601</v>
      </c>
      <c r="E11">
        <v>1291</v>
      </c>
      <c r="F11" s="2">
        <v>0.53446940356312933</v>
      </c>
      <c r="G11" s="2">
        <v>0.46553059643687067</v>
      </c>
      <c r="H11" s="3">
        <v>0.87101449275362319</v>
      </c>
      <c r="I11" s="2">
        <v>4.9495270920474023E-3</v>
      </c>
      <c r="J11" s="2" t="str" cm="1">
        <f t="array" ref="J1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11" s="2" t="str" cm="1">
        <f t="array" ref="K1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2" spans="1:11">
      <c r="A12" s="1" t="s">
        <v>11</v>
      </c>
      <c r="B12" s="1" t="s">
        <v>1</v>
      </c>
      <c r="C12">
        <v>680</v>
      </c>
      <c r="D12">
        <v>604</v>
      </c>
      <c r="E12">
        <v>1284</v>
      </c>
      <c r="F12" s="2">
        <v>0.52959501557632394</v>
      </c>
      <c r="G12" s="2">
        <v>0.47040498442367601</v>
      </c>
      <c r="H12" s="3">
        <v>0.88823529411764701</v>
      </c>
      <c r="I12" s="2">
        <v>4.92268999704792E-3</v>
      </c>
      <c r="J12" s="2" t="str" cm="1">
        <f t="array" ref="J1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12" s="2" t="str" cm="1">
        <f t="array" ref="K1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3" spans="1:11">
      <c r="A13" s="1" t="s">
        <v>12</v>
      </c>
      <c r="B13" s="1" t="s">
        <v>1</v>
      </c>
      <c r="C13">
        <v>557</v>
      </c>
      <c r="D13">
        <v>691</v>
      </c>
      <c r="E13">
        <v>1248</v>
      </c>
      <c r="F13" s="2">
        <v>0.44631410256410259</v>
      </c>
      <c r="G13" s="2">
        <v>0.55368589743589747</v>
      </c>
      <c r="H13" s="3">
        <v>1.2405745062836624</v>
      </c>
      <c r="I13" s="2">
        <v>4.7846706513362952E-3</v>
      </c>
      <c r="J13" s="2" t="str" cm="1">
        <f t="array" ref="J1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13" s="2" t="str" cm="1">
        <f t="array" ref="K1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4" spans="1:11">
      <c r="A14" s="1" t="s">
        <v>13</v>
      </c>
      <c r="B14" s="1" t="s">
        <v>1</v>
      </c>
      <c r="C14">
        <v>541</v>
      </c>
      <c r="D14">
        <v>559</v>
      </c>
      <c r="E14">
        <v>1100</v>
      </c>
      <c r="F14" s="2">
        <v>0.49181818181818182</v>
      </c>
      <c r="G14" s="2">
        <v>0.50818181818181818</v>
      </c>
      <c r="H14" s="3">
        <v>1.033271719038817</v>
      </c>
      <c r="I14" s="2">
        <v>4.2172577856329531E-3</v>
      </c>
      <c r="J14" s="2" t="str" cm="1">
        <f t="array" ref="J1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14" s="2" t="str" cm="1">
        <f t="array" ref="K1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5" spans="1:11">
      <c r="A15" s="1" t="s">
        <v>14</v>
      </c>
      <c r="B15" s="1" t="s">
        <v>1</v>
      </c>
      <c r="C15">
        <v>381</v>
      </c>
      <c r="D15">
        <v>437</v>
      </c>
      <c r="E15">
        <v>818</v>
      </c>
      <c r="F15" s="2">
        <v>0.46577017114914426</v>
      </c>
      <c r="G15" s="2">
        <v>0.53422982885085579</v>
      </c>
      <c r="H15" s="3">
        <v>1.146981627296588</v>
      </c>
      <c r="I15" s="2">
        <v>3.1361062442252321E-3</v>
      </c>
      <c r="J15" s="2" t="str" cm="1">
        <f t="array" ref="J1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15" s="2" t="str" cm="1">
        <f t="array" ref="K1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6" spans="1:11">
      <c r="A16" s="1" t="s">
        <v>15</v>
      </c>
      <c r="B16" s="1" t="s">
        <v>1</v>
      </c>
      <c r="C16">
        <v>359</v>
      </c>
      <c r="D16">
        <v>434</v>
      </c>
      <c r="E16">
        <v>793</v>
      </c>
      <c r="F16" s="2">
        <v>0.45271122320302648</v>
      </c>
      <c r="G16" s="2">
        <v>0.54728877679697352</v>
      </c>
      <c r="H16" s="3">
        <v>1.2089136490250696</v>
      </c>
      <c r="I16" s="2">
        <v>3.0402594763699379E-3</v>
      </c>
      <c r="J16" s="2" t="str" cm="1">
        <f t="array" ref="J1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16" s="2" t="str" cm="1">
        <f t="array" ref="K1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7" spans="1:11">
      <c r="A17" s="1" t="s">
        <v>16</v>
      </c>
      <c r="B17" s="1" t="s">
        <v>1</v>
      </c>
      <c r="C17">
        <v>332</v>
      </c>
      <c r="D17">
        <v>342</v>
      </c>
      <c r="E17">
        <v>674</v>
      </c>
      <c r="F17" s="2">
        <v>0.49258160237388726</v>
      </c>
      <c r="G17" s="2">
        <v>0.50741839762611274</v>
      </c>
      <c r="H17" s="3">
        <v>1.0301204819277108</v>
      </c>
      <c r="I17" s="2">
        <v>2.5840288613787365E-3</v>
      </c>
      <c r="J17" s="2" t="str" cm="1">
        <f t="array" ref="J1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17" s="2" t="str" cm="1">
        <f t="array" ref="K1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8" spans="1:11">
      <c r="A18" s="1" t="s">
        <v>17</v>
      </c>
      <c r="B18" s="1" t="s">
        <v>1</v>
      </c>
      <c r="C18">
        <v>360</v>
      </c>
      <c r="D18">
        <v>309</v>
      </c>
      <c r="E18">
        <v>669</v>
      </c>
      <c r="F18" s="2">
        <v>0.53811659192825112</v>
      </c>
      <c r="G18" s="2">
        <v>0.46188340807174888</v>
      </c>
      <c r="H18" s="3">
        <v>0.85833333333333328</v>
      </c>
      <c r="I18" s="2">
        <v>2.5648595078076779E-3</v>
      </c>
      <c r="J18" s="2" t="str" cm="1">
        <f t="array" ref="J1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18" s="2" t="str" cm="1">
        <f t="array" ref="K1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19" spans="1:11">
      <c r="A19" s="1" t="s">
        <v>18</v>
      </c>
      <c r="B19" s="1" t="s">
        <v>1</v>
      </c>
      <c r="C19">
        <v>266</v>
      </c>
      <c r="D19">
        <v>327</v>
      </c>
      <c r="E19">
        <v>593</v>
      </c>
      <c r="F19" s="2">
        <v>0.44856661045531199</v>
      </c>
      <c r="G19" s="2">
        <v>0.55143338954468801</v>
      </c>
      <c r="H19" s="3">
        <v>1.2293233082706767</v>
      </c>
      <c r="I19" s="2">
        <v>2.2734853335275827E-3</v>
      </c>
      <c r="J19" s="2" t="str" cm="1">
        <f t="array" ref="J19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19" s="2" t="str" cm="1">
        <f t="array" ref="K19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20" spans="1:11">
      <c r="A20" s="1" t="s">
        <v>19</v>
      </c>
      <c r="B20" s="1" t="s">
        <v>1</v>
      </c>
      <c r="C20">
        <v>267</v>
      </c>
      <c r="D20">
        <v>302</v>
      </c>
      <c r="E20">
        <v>569</v>
      </c>
      <c r="F20" s="2">
        <v>0.46924428822495606</v>
      </c>
      <c r="G20" s="2">
        <v>0.53075571177504388</v>
      </c>
      <c r="H20" s="3">
        <v>1.1310861423220975</v>
      </c>
      <c r="I20" s="2">
        <v>2.1814724363865001E-3</v>
      </c>
      <c r="J20" s="2" t="str" cm="1">
        <f t="array" ref="J20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20" s="2" t="str" cm="1">
        <f t="array" ref="K20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21" spans="1:11">
      <c r="A21" s="1" t="s">
        <v>20</v>
      </c>
      <c r="B21" s="1" t="s">
        <v>1</v>
      </c>
      <c r="C21">
        <v>257</v>
      </c>
      <c r="D21">
        <v>223</v>
      </c>
      <c r="E21">
        <v>480</v>
      </c>
      <c r="F21" s="2">
        <v>0.53541666666666665</v>
      </c>
      <c r="G21" s="2">
        <v>0.46458333333333335</v>
      </c>
      <c r="H21" s="3">
        <v>0.86770428015564205</v>
      </c>
      <c r="I21" s="2">
        <v>1.8402579428216522E-3</v>
      </c>
      <c r="J21" s="2" t="str" cm="1">
        <f t="array" ref="J2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21" s="2" t="str" cm="1">
        <f t="array" ref="K2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增加曝光，保持供给稳定</v>
      </c>
    </row>
    <row r="22" spans="1:11">
      <c r="A22" s="1" t="s">
        <v>21</v>
      </c>
      <c r="B22" s="1" t="s">
        <v>22</v>
      </c>
      <c r="C22">
        <v>235</v>
      </c>
      <c r="D22">
        <v>227</v>
      </c>
      <c r="E22">
        <v>462</v>
      </c>
      <c r="F22" s="2">
        <v>0.5086580086580087</v>
      </c>
      <c r="G22" s="2">
        <v>0.49134199134199136</v>
      </c>
      <c r="H22" s="3">
        <v>0.96595744680851059</v>
      </c>
      <c r="I22" s="2">
        <v>1.7712482699658403E-3</v>
      </c>
      <c r="J22" s="2" t="str" cm="1">
        <f t="array" ref="J2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22" s="2" t="str" cm="1">
        <f t="array" ref="K2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23" spans="1:11">
      <c r="A23" s="1" t="s">
        <v>23</v>
      </c>
      <c r="B23" s="1" t="s">
        <v>22</v>
      </c>
      <c r="C23">
        <v>200</v>
      </c>
      <c r="D23">
        <v>241</v>
      </c>
      <c r="E23">
        <v>441</v>
      </c>
      <c r="F23" s="2">
        <v>0.45351473922902497</v>
      </c>
      <c r="G23" s="2">
        <v>0.54648526077097503</v>
      </c>
      <c r="H23" s="3">
        <v>1.2050000000000001</v>
      </c>
      <c r="I23" s="2">
        <v>1.690736984967393E-3</v>
      </c>
      <c r="J23" s="2" t="str" cm="1">
        <f t="array" ref="J2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23" s="2" t="str" cm="1">
        <f t="array" ref="K2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24" spans="1:11">
      <c r="A24" s="1" t="s">
        <v>24</v>
      </c>
      <c r="B24" s="1" t="s">
        <v>22</v>
      </c>
      <c r="C24">
        <v>205</v>
      </c>
      <c r="D24">
        <v>193</v>
      </c>
      <c r="E24">
        <v>398</v>
      </c>
      <c r="F24" s="2">
        <v>0.51507537688442206</v>
      </c>
      <c r="G24" s="2">
        <v>0.48492462311557788</v>
      </c>
      <c r="H24" s="3">
        <v>0.94146341463414629</v>
      </c>
      <c r="I24" s="2">
        <v>1.5258805442562866E-3</v>
      </c>
      <c r="J24" s="2" t="str" cm="1">
        <f t="array" ref="J2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24" s="2" t="str" cm="1">
        <f t="array" ref="K2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25" spans="1:11">
      <c r="A25" s="1" t="s">
        <v>25</v>
      </c>
      <c r="B25" s="1" t="s">
        <v>22</v>
      </c>
      <c r="C25">
        <v>202</v>
      </c>
      <c r="D25">
        <v>158</v>
      </c>
      <c r="E25">
        <v>360</v>
      </c>
      <c r="F25" s="2">
        <v>0.56111111111111112</v>
      </c>
      <c r="G25" s="2">
        <v>0.43888888888888888</v>
      </c>
      <c r="H25" s="3">
        <v>0.78217821782178221</v>
      </c>
      <c r="I25" s="2">
        <v>1.3801934571162392E-3</v>
      </c>
      <c r="J25" s="2" t="str" cm="1">
        <f t="array" ref="J2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25" s="2" t="str" cm="1">
        <f t="array" ref="K2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26" spans="1:11">
      <c r="A26" s="1" t="s">
        <v>26</v>
      </c>
      <c r="B26" s="1" t="s">
        <v>22</v>
      </c>
      <c r="C26">
        <v>151</v>
      </c>
      <c r="D26">
        <v>176</v>
      </c>
      <c r="E26">
        <v>327</v>
      </c>
      <c r="F26" s="2">
        <v>0.46177370030581039</v>
      </c>
      <c r="G26" s="2">
        <v>0.53822629969418956</v>
      </c>
      <c r="H26" s="3">
        <v>1.1655629139072847</v>
      </c>
      <c r="I26" s="2">
        <v>1.2536757235472506E-3</v>
      </c>
      <c r="J26" s="2" t="str" cm="1">
        <f t="array" ref="J2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26" s="2" t="str" cm="1">
        <f t="array" ref="K2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27" spans="1:11">
      <c r="A27" s="1" t="s">
        <v>27</v>
      </c>
      <c r="B27" s="1" t="s">
        <v>112</v>
      </c>
      <c r="C27">
        <v>141</v>
      </c>
      <c r="D27">
        <v>176</v>
      </c>
      <c r="E27">
        <v>317</v>
      </c>
      <c r="F27" s="2">
        <v>0.44479495268138802</v>
      </c>
      <c r="G27" s="2">
        <v>0.55520504731861198</v>
      </c>
      <c r="H27" s="3">
        <v>1.24822695035461</v>
      </c>
      <c r="I27" s="2">
        <v>1.2153370164051328E-3</v>
      </c>
      <c r="J27" s="2" t="str" cm="1">
        <f t="array" ref="J2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27" s="2" t="str" cm="1">
        <f t="array" ref="K2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28" spans="1:11">
      <c r="A28" s="1" t="s">
        <v>28</v>
      </c>
      <c r="B28" s="1" t="s">
        <v>22</v>
      </c>
      <c r="C28">
        <v>161</v>
      </c>
      <c r="D28">
        <v>127</v>
      </c>
      <c r="E28">
        <v>288</v>
      </c>
      <c r="F28" s="2">
        <v>0.55902777777777779</v>
      </c>
      <c r="G28" s="2">
        <v>0.44097222222222221</v>
      </c>
      <c r="H28" s="3">
        <v>0.78881987577639756</v>
      </c>
      <c r="I28" s="2">
        <v>1.1041547656929912E-3</v>
      </c>
      <c r="J28" s="2" t="str" cm="1">
        <f t="array" ref="J2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28" s="2" t="str" cm="1">
        <f t="array" ref="K2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29" spans="1:11">
      <c r="A29" s="1" t="s">
        <v>29</v>
      </c>
      <c r="B29" s="1" t="s">
        <v>22</v>
      </c>
      <c r="C29">
        <v>121</v>
      </c>
      <c r="D29">
        <v>139</v>
      </c>
      <c r="E29">
        <v>260</v>
      </c>
      <c r="F29" s="2">
        <v>0.4653846153846154</v>
      </c>
      <c r="G29" s="2">
        <v>0.5346153846153846</v>
      </c>
      <c r="H29" s="3">
        <v>1.1487603305785123</v>
      </c>
      <c r="I29" s="2">
        <v>9.9680638569506165E-4</v>
      </c>
      <c r="J29" s="2" t="str" cm="1">
        <f t="array" ref="J29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29" s="2" t="str" cm="1">
        <f t="array" ref="K29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0" spans="1:11">
      <c r="A30" s="1" t="s">
        <v>30</v>
      </c>
      <c r="B30" s="1" t="s">
        <v>22</v>
      </c>
      <c r="C30">
        <v>140</v>
      </c>
      <c r="D30">
        <v>115</v>
      </c>
      <c r="E30">
        <v>255</v>
      </c>
      <c r="F30" s="2">
        <v>0.5490196078431373</v>
      </c>
      <c r="G30" s="2">
        <v>0.45098039215686275</v>
      </c>
      <c r="H30" s="3">
        <v>0.8214285714285714</v>
      </c>
      <c r="I30" s="2">
        <v>9.7763703212400263E-4</v>
      </c>
      <c r="J30" s="2" t="str" cm="1">
        <f t="array" ref="J30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30" s="2" t="str" cm="1">
        <f t="array" ref="K30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1" spans="1:11">
      <c r="A31" s="1" t="s">
        <v>31</v>
      </c>
      <c r="B31" s="1" t="s">
        <v>22</v>
      </c>
      <c r="C31">
        <v>132</v>
      </c>
      <c r="D31">
        <v>120</v>
      </c>
      <c r="E31">
        <v>252</v>
      </c>
      <c r="F31" s="2">
        <v>0.52380952380952384</v>
      </c>
      <c r="G31" s="2">
        <v>0.47619047619047616</v>
      </c>
      <c r="H31" s="3">
        <v>0.90909090909090906</v>
      </c>
      <c r="I31" s="2">
        <v>9.6613541998136741E-4</v>
      </c>
      <c r="J31" s="2" t="str" cm="1">
        <f t="array" ref="J3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31" s="2" t="str" cm="1">
        <f t="array" ref="K3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2" spans="1:11">
      <c r="A32" s="1" t="s">
        <v>32</v>
      </c>
      <c r="B32" s="1" t="s">
        <v>22</v>
      </c>
      <c r="C32">
        <v>122</v>
      </c>
      <c r="D32">
        <v>128</v>
      </c>
      <c r="E32">
        <v>250</v>
      </c>
      <c r="F32" s="2">
        <v>0.48799999999999999</v>
      </c>
      <c r="G32" s="2">
        <v>0.51200000000000001</v>
      </c>
      <c r="H32" s="3">
        <v>1.0491803278688525</v>
      </c>
      <c r="I32" s="2">
        <v>9.5846767855294382E-4</v>
      </c>
      <c r="J32" s="2" t="str" cm="1">
        <f t="array" ref="J3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32" s="2" t="str" cm="1">
        <f t="array" ref="K3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3" spans="1:11">
      <c r="A33" s="1" t="s">
        <v>33</v>
      </c>
      <c r="B33" s="1" t="s">
        <v>22</v>
      </c>
      <c r="C33">
        <v>113</v>
      </c>
      <c r="D33">
        <v>123</v>
      </c>
      <c r="E33">
        <v>236</v>
      </c>
      <c r="F33" s="2">
        <v>0.4788135593220339</v>
      </c>
      <c r="G33" s="2">
        <v>0.52118644067796616</v>
      </c>
      <c r="H33" s="3">
        <v>1.0884955752212389</v>
      </c>
      <c r="I33" s="2">
        <v>9.0479348855397894E-4</v>
      </c>
      <c r="J33" s="2" t="str" cm="1">
        <f t="array" ref="J3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33" s="2" t="str" cm="1">
        <f t="array" ref="K3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4" spans="1:11">
      <c r="A34" s="1" t="s">
        <v>34</v>
      </c>
      <c r="B34" s="1" t="s">
        <v>22</v>
      </c>
      <c r="C34">
        <v>95</v>
      </c>
      <c r="D34">
        <v>116</v>
      </c>
      <c r="E34">
        <v>211</v>
      </c>
      <c r="F34" s="2">
        <v>0.45023696682464454</v>
      </c>
      <c r="G34" s="2">
        <v>0.54976303317535546</v>
      </c>
      <c r="H34" s="3">
        <v>1.2210526315789474</v>
      </c>
      <c r="I34" s="2">
        <v>8.089467206986846E-4</v>
      </c>
      <c r="J34" s="2" t="str" cm="1">
        <f t="array" ref="J3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34" s="2" t="str" cm="1">
        <f t="array" ref="K3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5" spans="1:11">
      <c r="A35" s="1" t="s">
        <v>35</v>
      </c>
      <c r="B35" s="1" t="s">
        <v>22</v>
      </c>
      <c r="C35">
        <v>114</v>
      </c>
      <c r="D35">
        <v>83</v>
      </c>
      <c r="E35">
        <v>197</v>
      </c>
      <c r="F35" s="2">
        <v>0.57868020304568524</v>
      </c>
      <c r="G35" s="2">
        <v>0.42131979695431471</v>
      </c>
      <c r="H35" s="3">
        <v>0.72807017543859653</v>
      </c>
      <c r="I35" s="2">
        <v>7.5527253069971971E-4</v>
      </c>
      <c r="J35" s="2" t="str" cm="1">
        <f t="array" ref="J3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35" s="2" t="str" cm="1">
        <f t="array" ref="K3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6" spans="1:11">
      <c r="A36" s="1" t="s">
        <v>36</v>
      </c>
      <c r="B36" s="1" t="s">
        <v>22</v>
      </c>
      <c r="C36">
        <v>109</v>
      </c>
      <c r="D36">
        <v>74</v>
      </c>
      <c r="E36">
        <v>183</v>
      </c>
      <c r="F36" s="2">
        <v>0.59562841530054644</v>
      </c>
      <c r="G36" s="2">
        <v>0.40437158469945356</v>
      </c>
      <c r="H36" s="3">
        <v>0.67889908256880738</v>
      </c>
      <c r="I36" s="2">
        <v>7.0159834070075493E-4</v>
      </c>
      <c r="J36" s="2" t="str" cm="1">
        <f t="array" ref="J3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36" s="2" t="str" cm="1">
        <f t="array" ref="K3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7" spans="1:11">
      <c r="A37" s="1" t="s">
        <v>37</v>
      </c>
      <c r="B37" s="1" t="s">
        <v>22</v>
      </c>
      <c r="C37">
        <v>114</v>
      </c>
      <c r="D37">
        <v>62</v>
      </c>
      <c r="E37">
        <v>176</v>
      </c>
      <c r="F37" s="2">
        <v>0.64772727272727271</v>
      </c>
      <c r="G37" s="2">
        <v>0.35227272727272729</v>
      </c>
      <c r="H37" s="3">
        <v>0.54385964912280704</v>
      </c>
      <c r="I37" s="2">
        <v>6.7476124570127244E-4</v>
      </c>
      <c r="J37" s="2" t="str" cm="1">
        <f t="array" ref="J3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37" s="2" t="str" cm="1">
        <f t="array" ref="K3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8" spans="1:11">
      <c r="A38" s="1" t="s">
        <v>38</v>
      </c>
      <c r="B38" s="1" t="s">
        <v>22</v>
      </c>
      <c r="C38">
        <v>88</v>
      </c>
      <c r="D38">
        <v>86</v>
      </c>
      <c r="E38">
        <v>174</v>
      </c>
      <c r="F38" s="2">
        <v>0.50574712643678166</v>
      </c>
      <c r="G38" s="2">
        <v>0.4942528735632184</v>
      </c>
      <c r="H38" s="3">
        <v>0.97727272727272729</v>
      </c>
      <c r="I38" s="2">
        <v>6.6709350427284896E-4</v>
      </c>
      <c r="J38" s="2" t="str" cm="1">
        <f t="array" ref="J3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38" s="2" t="str" cm="1">
        <f t="array" ref="K3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39" spans="1:11">
      <c r="A39" s="1" t="s">
        <v>39</v>
      </c>
      <c r="B39" s="1" t="s">
        <v>22</v>
      </c>
      <c r="C39">
        <v>74</v>
      </c>
      <c r="D39">
        <v>85</v>
      </c>
      <c r="E39">
        <v>159</v>
      </c>
      <c r="F39" s="2">
        <v>0.46540880503144655</v>
      </c>
      <c r="G39" s="2">
        <v>0.53459119496855345</v>
      </c>
      <c r="H39" s="3">
        <v>1.1486486486486487</v>
      </c>
      <c r="I39" s="2">
        <v>6.0958544355967233E-4</v>
      </c>
      <c r="J39" s="2" t="str" cm="1">
        <f t="array" ref="J39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39" s="2" t="str" cm="1">
        <f t="array" ref="K39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0" spans="1:11">
      <c r="A40" s="1" t="s">
        <v>40</v>
      </c>
      <c r="B40" s="1" t="s">
        <v>22</v>
      </c>
      <c r="C40">
        <v>81</v>
      </c>
      <c r="D40">
        <v>75</v>
      </c>
      <c r="E40">
        <v>156</v>
      </c>
      <c r="F40" s="2">
        <v>0.51923076923076927</v>
      </c>
      <c r="G40" s="2">
        <v>0.48076923076923078</v>
      </c>
      <c r="H40" s="3">
        <v>0.92592592592592593</v>
      </c>
      <c r="I40" s="2">
        <v>5.980838314170369E-4</v>
      </c>
      <c r="J40" s="2" t="str" cm="1">
        <f t="array" ref="J40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40" s="2" t="str" cm="1">
        <f t="array" ref="K40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1" spans="1:11">
      <c r="A41" s="1" t="s">
        <v>41</v>
      </c>
      <c r="B41" s="1" t="s">
        <v>22</v>
      </c>
      <c r="C41">
        <v>69</v>
      </c>
      <c r="D41">
        <v>87</v>
      </c>
      <c r="E41">
        <v>156</v>
      </c>
      <c r="F41" s="2">
        <v>0.44230769230769229</v>
      </c>
      <c r="G41" s="2">
        <v>0.55769230769230771</v>
      </c>
      <c r="H41" s="3">
        <v>1.2608695652173914</v>
      </c>
      <c r="I41" s="2">
        <v>5.980838314170369E-4</v>
      </c>
      <c r="J41" s="2" t="str" cm="1">
        <f t="array" ref="J4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41" s="2" t="str" cm="1">
        <f t="array" ref="K4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2" spans="1:11">
      <c r="A42" s="1" t="s">
        <v>42</v>
      </c>
      <c r="B42" s="1" t="s">
        <v>22</v>
      </c>
      <c r="C42">
        <v>70</v>
      </c>
      <c r="D42">
        <v>86</v>
      </c>
      <c r="E42">
        <v>156</v>
      </c>
      <c r="F42" s="2">
        <v>0.44871794871794873</v>
      </c>
      <c r="G42" s="2">
        <v>0.55128205128205132</v>
      </c>
      <c r="H42" s="3">
        <v>1.2285714285714286</v>
      </c>
      <c r="I42" s="2">
        <v>5.980838314170369E-4</v>
      </c>
      <c r="J42" s="2" t="str" cm="1">
        <f t="array" ref="J4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42" s="2" t="str" cm="1">
        <f t="array" ref="K4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3" spans="1:11">
      <c r="A43" s="1" t="s">
        <v>43</v>
      </c>
      <c r="B43" s="1" t="s">
        <v>22</v>
      </c>
      <c r="C43">
        <v>84</v>
      </c>
      <c r="D43">
        <v>62</v>
      </c>
      <c r="E43">
        <v>146</v>
      </c>
      <c r="F43" s="2">
        <v>0.57534246575342463</v>
      </c>
      <c r="G43" s="2">
        <v>0.42465753424657532</v>
      </c>
      <c r="H43" s="3">
        <v>0.73809523809523814</v>
      </c>
      <c r="I43" s="2">
        <v>5.5974512427491919E-4</v>
      </c>
      <c r="J43" s="2" t="str" cm="1">
        <f t="array" ref="J4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43" s="2" t="str" cm="1">
        <f t="array" ref="K4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4" spans="1:11">
      <c r="A44" s="1" t="s">
        <v>44</v>
      </c>
      <c r="B44" s="1" t="s">
        <v>22</v>
      </c>
      <c r="C44">
        <v>67</v>
      </c>
      <c r="D44">
        <v>66</v>
      </c>
      <c r="E44">
        <v>133</v>
      </c>
      <c r="F44" s="2">
        <v>0.50375939849624063</v>
      </c>
      <c r="G44" s="2">
        <v>0.49624060150375937</v>
      </c>
      <c r="H44" s="3">
        <v>0.9850746268656716</v>
      </c>
      <c r="I44" s="2">
        <v>5.0990480499016615E-4</v>
      </c>
      <c r="J44" s="2" t="str" cm="1">
        <f t="array" ref="J4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44" s="2" t="str" cm="1">
        <f t="array" ref="K4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5" spans="1:11">
      <c r="A45" s="1" t="s">
        <v>45</v>
      </c>
      <c r="B45" s="1" t="s">
        <v>22</v>
      </c>
      <c r="C45">
        <v>61</v>
      </c>
      <c r="D45">
        <v>67</v>
      </c>
      <c r="E45">
        <v>128</v>
      </c>
      <c r="F45" s="2">
        <v>0.4765625</v>
      </c>
      <c r="G45" s="2">
        <v>0.5234375</v>
      </c>
      <c r="H45" s="3">
        <v>1.098360655737705</v>
      </c>
      <c r="I45" s="2">
        <v>4.9073545141910724E-4</v>
      </c>
      <c r="J45" s="2" t="str" cm="1">
        <f t="array" ref="J4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45" s="2" t="str" cm="1">
        <f t="array" ref="K4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6" spans="1:11">
      <c r="A46" s="1" t="s">
        <v>46</v>
      </c>
      <c r="B46" s="1" t="s">
        <v>22</v>
      </c>
      <c r="C46">
        <v>60</v>
      </c>
      <c r="D46">
        <v>61</v>
      </c>
      <c r="E46">
        <v>121</v>
      </c>
      <c r="F46" s="2">
        <v>0.49586776859504134</v>
      </c>
      <c r="G46" s="2">
        <v>0.50413223140495866</v>
      </c>
      <c r="H46" s="3">
        <v>1.0166666666666666</v>
      </c>
      <c r="I46" s="2">
        <v>4.6389835641962479E-4</v>
      </c>
      <c r="J46" s="2" t="str" cm="1">
        <f t="array" ref="J4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46" s="2" t="str" cm="1">
        <f t="array" ref="K4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7" spans="1:11">
      <c r="A47" s="1" t="s">
        <v>47</v>
      </c>
      <c r="B47" s="1" t="s">
        <v>22</v>
      </c>
      <c r="C47">
        <v>57</v>
      </c>
      <c r="D47">
        <v>59</v>
      </c>
      <c r="E47">
        <v>116</v>
      </c>
      <c r="F47" s="2">
        <v>0.49137931034482757</v>
      </c>
      <c r="G47" s="2">
        <v>0.50862068965517238</v>
      </c>
      <c r="H47" s="3">
        <v>1.0350877192982457</v>
      </c>
      <c r="I47" s="2">
        <v>4.4472900284856594E-4</v>
      </c>
      <c r="J47" s="2" t="str" cm="1">
        <f t="array" ref="J4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47" s="2" t="str" cm="1">
        <f t="array" ref="K4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8" spans="1:11">
      <c r="A48" s="1" t="s">
        <v>48</v>
      </c>
      <c r="B48" s="1" t="s">
        <v>22</v>
      </c>
      <c r="C48">
        <v>57</v>
      </c>
      <c r="D48">
        <v>47</v>
      </c>
      <c r="E48">
        <v>104</v>
      </c>
      <c r="F48" s="2">
        <v>0.54807692307692313</v>
      </c>
      <c r="G48" s="2">
        <v>0.45192307692307693</v>
      </c>
      <c r="H48" s="3">
        <v>0.82456140350877194</v>
      </c>
      <c r="I48" s="2">
        <v>3.9872255427802464E-4</v>
      </c>
      <c r="J48" s="2" t="str" cm="1">
        <f t="array" ref="J4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低风险</v>
      </c>
      <c r="K48" s="2" t="str" cm="1">
        <f t="array" ref="K4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49" spans="1:11">
      <c r="A49" s="1" t="s">
        <v>49</v>
      </c>
      <c r="B49" s="1" t="s">
        <v>22</v>
      </c>
      <c r="C49">
        <v>47</v>
      </c>
      <c r="D49">
        <v>53</v>
      </c>
      <c r="E49">
        <v>100</v>
      </c>
      <c r="F49" s="2">
        <v>0.47</v>
      </c>
      <c r="G49" s="2">
        <v>0.53</v>
      </c>
      <c r="H49" s="3">
        <v>1.1276595744680851</v>
      </c>
      <c r="I49" s="2">
        <v>3.8338707142117752E-4</v>
      </c>
      <c r="J49" s="2" t="str" cm="1">
        <f t="array" ref="J49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49" s="2" t="str" cm="1">
        <f t="array" ref="K49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小流量测试，观察是否能放量</v>
      </c>
    </row>
    <row r="50" spans="1:11">
      <c r="A50" s="1" t="s">
        <v>50</v>
      </c>
      <c r="B50" s="1" t="s">
        <v>51</v>
      </c>
      <c r="C50">
        <v>8305</v>
      </c>
      <c r="D50">
        <v>11252</v>
      </c>
      <c r="E50">
        <v>19557</v>
      </c>
      <c r="F50" s="2">
        <v>0.42465613335378638</v>
      </c>
      <c r="G50" s="2">
        <v>0.57534386664621362</v>
      </c>
      <c r="H50" s="3">
        <v>1.354846478025286</v>
      </c>
      <c r="I50" s="2">
        <v>7.497900955783969E-2</v>
      </c>
      <c r="J50" s="2" t="str" cm="1">
        <f t="array" ref="J50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0" s="2" t="str" cm="1">
        <f t="array" ref="K50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51" spans="1:11">
      <c r="A51" s="1" t="s">
        <v>52</v>
      </c>
      <c r="B51" s="1" t="s">
        <v>51</v>
      </c>
      <c r="C51">
        <v>4838</v>
      </c>
      <c r="D51">
        <v>6666</v>
      </c>
      <c r="E51">
        <v>11504</v>
      </c>
      <c r="F51" s="2">
        <v>0.42054937413073712</v>
      </c>
      <c r="G51" s="2">
        <v>0.57945062586926288</v>
      </c>
      <c r="H51" s="3">
        <v>1.3778420835055809</v>
      </c>
      <c r="I51" s="2">
        <v>4.4104848696292262E-2</v>
      </c>
      <c r="J51" s="2" t="str" cm="1">
        <f t="array" ref="J5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1" s="2" t="str" cm="1">
        <f t="array" ref="K5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52" spans="1:11">
      <c r="A52" s="1" t="s">
        <v>58</v>
      </c>
      <c r="B52" s="1" t="s">
        <v>51</v>
      </c>
      <c r="C52">
        <v>1329</v>
      </c>
      <c r="D52">
        <v>1943</v>
      </c>
      <c r="E52">
        <v>3272</v>
      </c>
      <c r="F52" s="2">
        <v>0.40617359413202936</v>
      </c>
      <c r="G52" s="2">
        <v>0.59382640586797064</v>
      </c>
      <c r="H52" s="3">
        <v>1.4620015048908954</v>
      </c>
      <c r="I52" s="2">
        <v>1.2544424976900928E-2</v>
      </c>
      <c r="J52" s="2" t="str" cm="1">
        <f t="array" ref="J5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2" s="2" t="str" cm="1">
        <f t="array" ref="K5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53" spans="1:11">
      <c r="A53" s="1" t="s">
        <v>59</v>
      </c>
      <c r="B53" s="1" t="s">
        <v>51</v>
      </c>
      <c r="C53">
        <v>1104</v>
      </c>
      <c r="D53">
        <v>1452</v>
      </c>
      <c r="E53">
        <v>2556</v>
      </c>
      <c r="F53" s="2">
        <v>0.431924882629108</v>
      </c>
      <c r="G53" s="2">
        <v>0.568075117370892</v>
      </c>
      <c r="H53" s="3">
        <v>1.3152173913043479</v>
      </c>
      <c r="I53" s="2">
        <v>9.7993735455252987E-3</v>
      </c>
      <c r="J53" s="2" t="str" cm="1">
        <f t="array" ref="J5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3" s="2" t="str" cm="1">
        <f t="array" ref="K5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54" spans="1:11">
      <c r="A54" s="1" t="s">
        <v>61</v>
      </c>
      <c r="B54" s="1" t="s">
        <v>51</v>
      </c>
      <c r="C54">
        <v>948</v>
      </c>
      <c r="D54">
        <v>1203</v>
      </c>
      <c r="E54">
        <v>2151</v>
      </c>
      <c r="F54" s="2">
        <v>0.44072524407252439</v>
      </c>
      <c r="G54" s="2">
        <v>0.55927475592747555</v>
      </c>
      <c r="H54" s="3">
        <v>1.268987341772152</v>
      </c>
      <c r="I54" s="2">
        <v>8.2466559062695285E-3</v>
      </c>
      <c r="J54" s="2" t="str" cm="1">
        <f t="array" ref="J5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4" s="2" t="str" cm="1">
        <f t="array" ref="K5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55" spans="1:11">
      <c r="A55" s="1" t="s">
        <v>62</v>
      </c>
      <c r="B55" s="1" t="s">
        <v>51</v>
      </c>
      <c r="C55">
        <v>815</v>
      </c>
      <c r="D55">
        <v>1093</v>
      </c>
      <c r="E55">
        <v>1908</v>
      </c>
      <c r="F55" s="2">
        <v>0.42714884696016769</v>
      </c>
      <c r="G55" s="2">
        <v>0.57285115303983225</v>
      </c>
      <c r="H55" s="3">
        <v>1.3411042944785276</v>
      </c>
      <c r="I55" s="2">
        <v>7.3150253227160676E-3</v>
      </c>
      <c r="J55" s="2" t="str" cm="1">
        <f t="array" ref="J5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5" s="2" t="str" cm="1">
        <f t="array" ref="K5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56" spans="1:11">
      <c r="A56" s="1" t="s">
        <v>69</v>
      </c>
      <c r="B56" s="1" t="s">
        <v>51</v>
      </c>
      <c r="C56">
        <v>518</v>
      </c>
      <c r="D56">
        <v>710</v>
      </c>
      <c r="E56">
        <v>1228</v>
      </c>
      <c r="F56" s="2">
        <v>0.42182410423452771</v>
      </c>
      <c r="G56" s="2">
        <v>0.57817589576547235</v>
      </c>
      <c r="H56" s="3">
        <v>1.3706563706563706</v>
      </c>
      <c r="I56" s="2">
        <v>4.70799323705206E-3</v>
      </c>
      <c r="J56" s="2" t="str" cm="1">
        <f t="array" ref="J5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6" s="2" t="str" cm="1">
        <f t="array" ref="K5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57" spans="1:11">
      <c r="A57" s="1" t="s">
        <v>78</v>
      </c>
      <c r="B57" s="1" t="s">
        <v>51</v>
      </c>
      <c r="C57">
        <v>218</v>
      </c>
      <c r="D57">
        <v>282</v>
      </c>
      <c r="E57">
        <v>500</v>
      </c>
      <c r="F57" s="2">
        <v>0.436</v>
      </c>
      <c r="G57" s="2">
        <v>0.56399999999999995</v>
      </c>
      <c r="H57" s="3">
        <v>1.2935779816513762</v>
      </c>
      <c r="I57" s="2">
        <v>1.9169353571058876E-3</v>
      </c>
      <c r="J57" s="2" t="str" cm="1">
        <f t="array" ref="J5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7" s="2" t="str" cm="1">
        <f t="array" ref="K5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58" spans="1:11">
      <c r="A58" s="1" t="s">
        <v>79</v>
      </c>
      <c r="B58" s="1" t="s">
        <v>51</v>
      </c>
      <c r="C58">
        <v>194</v>
      </c>
      <c r="D58">
        <v>279</v>
      </c>
      <c r="E58">
        <v>473</v>
      </c>
      <c r="F58" s="2">
        <v>0.41014799154334036</v>
      </c>
      <c r="G58" s="2">
        <v>0.58985200845665964</v>
      </c>
      <c r="H58" s="3">
        <v>1.4381443298969072</v>
      </c>
      <c r="I58" s="2">
        <v>1.8134208478221697E-3</v>
      </c>
      <c r="J58" s="2" t="str" cm="1">
        <f t="array" ref="J5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8" s="2" t="str" cm="1">
        <f t="array" ref="K5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59" spans="1:11">
      <c r="A59" s="1" t="s">
        <v>83</v>
      </c>
      <c r="B59" s="1" t="s">
        <v>81</v>
      </c>
      <c r="C59">
        <v>155</v>
      </c>
      <c r="D59">
        <v>198</v>
      </c>
      <c r="E59">
        <v>353</v>
      </c>
      <c r="F59" s="2">
        <v>0.43909348441926344</v>
      </c>
      <c r="G59" s="2">
        <v>0.56090651558073656</v>
      </c>
      <c r="H59" s="3">
        <v>1.2774193548387096</v>
      </c>
      <c r="I59" s="2">
        <v>1.3533563621167567E-3</v>
      </c>
      <c r="J59" s="2" t="str" cm="1">
        <f t="array" ref="J59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59" s="2" t="str" cm="1">
        <f t="array" ref="K59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60" spans="1:11">
      <c r="A60" s="1" t="s">
        <v>87</v>
      </c>
      <c r="B60" s="1" t="s">
        <v>81</v>
      </c>
      <c r="C60">
        <v>88</v>
      </c>
      <c r="D60">
        <v>131</v>
      </c>
      <c r="E60">
        <v>219</v>
      </c>
      <c r="F60" s="2">
        <v>0.40182648401826482</v>
      </c>
      <c r="G60" s="2">
        <v>0.59817351598173518</v>
      </c>
      <c r="H60" s="3">
        <v>1.4886363636363635</v>
      </c>
      <c r="I60" s="2">
        <v>8.3961768641237884E-4</v>
      </c>
      <c r="J60" s="2" t="str" cm="1">
        <f t="array" ref="J60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60" s="2" t="str" cm="1">
        <f t="array" ref="K60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61" spans="1:11">
      <c r="A61" s="1" t="s">
        <v>91</v>
      </c>
      <c r="B61" s="1" t="s">
        <v>81</v>
      </c>
      <c r="C61">
        <v>71</v>
      </c>
      <c r="D61">
        <v>102</v>
      </c>
      <c r="E61">
        <v>173</v>
      </c>
      <c r="F61" s="2">
        <v>0.41040462427745666</v>
      </c>
      <c r="G61" s="2">
        <v>0.58959537572254339</v>
      </c>
      <c r="H61" s="3">
        <v>1.4366197183098592</v>
      </c>
      <c r="I61" s="2">
        <v>6.6325963355863711E-4</v>
      </c>
      <c r="J61" s="2" t="str" cm="1">
        <f t="array" ref="J6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61" s="2" t="str" cm="1">
        <f t="array" ref="K6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62" spans="1:11">
      <c r="A62" s="1" t="s">
        <v>93</v>
      </c>
      <c r="B62" s="1" t="s">
        <v>81</v>
      </c>
      <c r="C62">
        <v>69</v>
      </c>
      <c r="D62">
        <v>96</v>
      </c>
      <c r="E62">
        <v>165</v>
      </c>
      <c r="F62" s="2">
        <v>0.41818181818181815</v>
      </c>
      <c r="G62" s="2">
        <v>0.58181818181818179</v>
      </c>
      <c r="H62" s="3">
        <v>1.3913043478260869</v>
      </c>
      <c r="I62" s="2">
        <v>6.3258866784494298E-4</v>
      </c>
      <c r="J62" s="2" t="str" cm="1">
        <f t="array" ref="J6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62" s="2" t="str" cm="1">
        <f t="array" ref="K6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63" spans="1:11">
      <c r="A63" s="1" t="s">
        <v>96</v>
      </c>
      <c r="B63" s="1" t="s">
        <v>81</v>
      </c>
      <c r="C63">
        <v>49</v>
      </c>
      <c r="D63">
        <v>68</v>
      </c>
      <c r="E63">
        <v>117</v>
      </c>
      <c r="F63" s="2">
        <v>0.41880341880341881</v>
      </c>
      <c r="G63" s="2">
        <v>0.58119658119658124</v>
      </c>
      <c r="H63" s="3">
        <v>1.3877551020408163</v>
      </c>
      <c r="I63" s="2">
        <v>4.4856287356277773E-4</v>
      </c>
      <c r="J63" s="2" t="str" cm="1">
        <f t="array" ref="J6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中风险</v>
      </c>
      <c r="K63" s="2" t="str" cm="1">
        <f t="array" ref="K6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64" spans="1:11">
      <c r="A64" s="1" t="s">
        <v>53</v>
      </c>
      <c r="B64" s="1" t="s">
        <v>51</v>
      </c>
      <c r="C64">
        <v>3236</v>
      </c>
      <c r="D64">
        <v>7473</v>
      </c>
      <c r="E64">
        <v>10709</v>
      </c>
      <c r="F64" s="2">
        <v>0.30217574003174902</v>
      </c>
      <c r="G64" s="2">
        <v>0.69782425996825104</v>
      </c>
      <c r="H64" s="3">
        <v>2.3093325092707047</v>
      </c>
      <c r="I64" s="2">
        <v>4.10569214784939E-2</v>
      </c>
      <c r="J64" s="2" t="str" cm="1">
        <f t="array" ref="J6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64" s="2" t="str" cm="1">
        <f t="array" ref="K6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65" spans="1:11">
      <c r="A65" s="1" t="s">
        <v>54</v>
      </c>
      <c r="B65" s="1" t="s">
        <v>51</v>
      </c>
      <c r="C65">
        <v>4060</v>
      </c>
      <c r="D65">
        <v>6514</v>
      </c>
      <c r="E65">
        <v>10574</v>
      </c>
      <c r="F65" s="2">
        <v>0.38396065821827124</v>
      </c>
      <c r="G65" s="2">
        <v>0.61603934178172881</v>
      </c>
      <c r="H65" s="3">
        <v>1.6044334975369459</v>
      </c>
      <c r="I65" s="2">
        <v>4.0539348932075316E-2</v>
      </c>
      <c r="J65" s="2" t="str" cm="1">
        <f t="array" ref="J6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65" s="2" t="str" cm="1">
        <f t="array" ref="K6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66" spans="1:11">
      <c r="A66" s="1" t="s">
        <v>55</v>
      </c>
      <c r="B66" s="1" t="s">
        <v>51</v>
      </c>
      <c r="C66">
        <v>1931</v>
      </c>
      <c r="D66">
        <v>3077</v>
      </c>
      <c r="E66">
        <v>5008</v>
      </c>
      <c r="F66" s="2">
        <v>0.38558306709265178</v>
      </c>
      <c r="G66" s="2">
        <v>0.61441693290734822</v>
      </c>
      <c r="H66" s="3">
        <v>1.5934748834800621</v>
      </c>
      <c r="I66" s="2">
        <v>1.920002453677257E-2</v>
      </c>
      <c r="J66" s="2" t="str" cm="1">
        <f t="array" ref="J6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66" s="2" t="str" cm="1">
        <f t="array" ref="K6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67" spans="1:11">
      <c r="A67" s="1" t="s">
        <v>56</v>
      </c>
      <c r="B67" s="1" t="s">
        <v>51</v>
      </c>
      <c r="C67">
        <v>1557</v>
      </c>
      <c r="D67">
        <v>2995</v>
      </c>
      <c r="E67">
        <v>4552</v>
      </c>
      <c r="F67" s="2">
        <v>0.34204745166959577</v>
      </c>
      <c r="G67" s="2">
        <v>0.65795254833040417</v>
      </c>
      <c r="H67" s="3">
        <v>1.9235709698137444</v>
      </c>
      <c r="I67" s="2">
        <v>1.7451779491092001E-2</v>
      </c>
      <c r="J67" s="2" t="str" cm="1">
        <f t="array" ref="J6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67" s="2" t="str" cm="1">
        <f t="array" ref="K6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68" spans="1:11">
      <c r="A68" s="1" t="s">
        <v>57</v>
      </c>
      <c r="B68" s="1" t="s">
        <v>51</v>
      </c>
      <c r="C68">
        <v>1022</v>
      </c>
      <c r="D68">
        <v>2412</v>
      </c>
      <c r="E68">
        <v>3434</v>
      </c>
      <c r="F68" s="2">
        <v>0.29761211415259176</v>
      </c>
      <c r="G68" s="2">
        <v>0.7023878858474083</v>
      </c>
      <c r="H68" s="3">
        <v>2.360078277886497</v>
      </c>
      <c r="I68" s="2">
        <v>1.3165512032603237E-2</v>
      </c>
      <c r="J68" s="2" t="str" cm="1">
        <f t="array" ref="J6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68" s="2" t="str" cm="1">
        <f t="array" ref="K6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69" spans="1:11">
      <c r="A69" s="1" t="s">
        <v>60</v>
      </c>
      <c r="B69" s="1" t="s">
        <v>51</v>
      </c>
      <c r="C69">
        <v>813</v>
      </c>
      <c r="D69">
        <v>1727</v>
      </c>
      <c r="E69">
        <v>2540</v>
      </c>
      <c r="F69" s="2">
        <v>0.32007874015748033</v>
      </c>
      <c r="G69" s="2">
        <v>0.67992125984251972</v>
      </c>
      <c r="H69" s="3">
        <v>2.124231242312423</v>
      </c>
      <c r="I69" s="2">
        <v>9.7380316140979091E-3</v>
      </c>
      <c r="J69" s="2" t="str" cm="1">
        <f t="array" ref="J69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69" s="2" t="str" cm="1">
        <f t="array" ref="K69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0" spans="1:11">
      <c r="A70" s="1" t="s">
        <v>63</v>
      </c>
      <c r="B70" s="1" t="s">
        <v>51</v>
      </c>
      <c r="C70">
        <v>433</v>
      </c>
      <c r="D70">
        <v>1006</v>
      </c>
      <c r="E70">
        <v>1439</v>
      </c>
      <c r="F70" s="2">
        <v>0.30090340514246006</v>
      </c>
      <c r="G70" s="2">
        <v>0.69909659485753994</v>
      </c>
      <c r="H70" s="3">
        <v>2.323325635103926</v>
      </c>
      <c r="I70" s="2">
        <v>5.5169399577507444E-3</v>
      </c>
      <c r="J70" s="2" t="str" cm="1">
        <f t="array" ref="J70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70" s="2" t="str" cm="1">
        <f t="array" ref="K70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1" spans="1:11">
      <c r="A71" s="1" t="s">
        <v>64</v>
      </c>
      <c r="B71" s="1" t="s">
        <v>51</v>
      </c>
      <c r="C71">
        <v>395</v>
      </c>
      <c r="D71">
        <v>1022</v>
      </c>
      <c r="E71">
        <v>1417</v>
      </c>
      <c r="F71" s="2">
        <v>0.27875793930839804</v>
      </c>
      <c r="G71" s="2">
        <v>0.72124206069160202</v>
      </c>
      <c r="H71" s="3">
        <v>2.5873417721518988</v>
      </c>
      <c r="I71" s="2">
        <v>5.4325948020380859E-3</v>
      </c>
      <c r="J71" s="2" t="str" cm="1">
        <f t="array" ref="J7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71" s="2" t="str" cm="1">
        <f t="array" ref="K7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2" spans="1:11">
      <c r="A72" s="1" t="s">
        <v>65</v>
      </c>
      <c r="B72" s="1" t="s">
        <v>51</v>
      </c>
      <c r="C72">
        <v>552</v>
      </c>
      <c r="D72">
        <v>839</v>
      </c>
      <c r="E72">
        <v>1391</v>
      </c>
      <c r="F72" s="2">
        <v>0.3968368080517613</v>
      </c>
      <c r="G72" s="2">
        <v>0.60316319194823864</v>
      </c>
      <c r="H72" s="3">
        <v>1.519927536231884</v>
      </c>
      <c r="I72" s="2">
        <v>5.3329141634685792E-3</v>
      </c>
      <c r="J72" s="2" t="str" cm="1">
        <f t="array" ref="J7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72" s="2" t="str" cm="1">
        <f t="array" ref="K7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3" spans="1:11">
      <c r="A73" s="1" t="s">
        <v>66</v>
      </c>
      <c r="B73" s="1" t="s">
        <v>51</v>
      </c>
      <c r="C73">
        <v>411</v>
      </c>
      <c r="D73">
        <v>895</v>
      </c>
      <c r="E73">
        <v>1306</v>
      </c>
      <c r="F73" s="2">
        <v>0.31470137825421135</v>
      </c>
      <c r="G73" s="2">
        <v>0.68529862174578871</v>
      </c>
      <c r="H73" s="3">
        <v>2.1776155717761556</v>
      </c>
      <c r="I73" s="2">
        <v>5.0070351527605785E-3</v>
      </c>
      <c r="J73" s="2" t="str" cm="1">
        <f t="array" ref="J7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73" s="2" t="str" cm="1">
        <f t="array" ref="K7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4" spans="1:11">
      <c r="A74" s="1" t="s">
        <v>67</v>
      </c>
      <c r="B74" s="1" t="s">
        <v>51</v>
      </c>
      <c r="C74">
        <v>478</v>
      </c>
      <c r="D74">
        <v>807</v>
      </c>
      <c r="E74">
        <v>1285</v>
      </c>
      <c r="F74" s="2">
        <v>0.37198443579766538</v>
      </c>
      <c r="G74" s="2">
        <v>0.62801556420233462</v>
      </c>
      <c r="H74" s="3">
        <v>1.6882845188284519</v>
      </c>
      <c r="I74" s="2">
        <v>4.9265238677621316E-3</v>
      </c>
      <c r="J74" s="2" t="str" cm="1">
        <f t="array" ref="J7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74" s="2" t="str" cm="1">
        <f t="array" ref="K7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5" spans="1:11">
      <c r="A75" s="1" t="s">
        <v>68</v>
      </c>
      <c r="B75" s="1" t="s">
        <v>51</v>
      </c>
      <c r="C75">
        <v>391</v>
      </c>
      <c r="D75">
        <v>865</v>
      </c>
      <c r="E75">
        <v>1256</v>
      </c>
      <c r="F75" s="2">
        <v>0.31130573248407645</v>
      </c>
      <c r="G75" s="2">
        <v>0.68869426751592355</v>
      </c>
      <c r="H75" s="3">
        <v>2.2122762148337598</v>
      </c>
      <c r="I75" s="2">
        <v>4.81534161704999E-3</v>
      </c>
      <c r="J75" s="2" t="str" cm="1">
        <f t="array" ref="J7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75" s="2" t="str" cm="1">
        <f t="array" ref="K7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6" spans="1:11">
      <c r="A76" s="1" t="s">
        <v>70</v>
      </c>
      <c r="B76" s="1" t="s">
        <v>51</v>
      </c>
      <c r="C76">
        <v>296</v>
      </c>
      <c r="D76">
        <v>820</v>
      </c>
      <c r="E76">
        <v>1116</v>
      </c>
      <c r="F76" s="2">
        <v>0.26523297491039427</v>
      </c>
      <c r="G76" s="2">
        <v>0.73476702508960579</v>
      </c>
      <c r="H76" s="3">
        <v>2.7702702702702702</v>
      </c>
      <c r="I76" s="2">
        <v>4.2785997170603409E-3</v>
      </c>
      <c r="J76" s="2" t="str" cm="1">
        <f t="array" ref="J7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76" s="2" t="str" cm="1">
        <f t="array" ref="K7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7" spans="1:11">
      <c r="A77" s="1" t="s">
        <v>71</v>
      </c>
      <c r="B77" s="1" t="s">
        <v>51</v>
      </c>
      <c r="C77">
        <v>309</v>
      </c>
      <c r="D77">
        <v>748</v>
      </c>
      <c r="E77">
        <v>1057</v>
      </c>
      <c r="F77" s="2">
        <v>0.29233680227057712</v>
      </c>
      <c r="G77" s="2">
        <v>0.70766319772942288</v>
      </c>
      <c r="H77" s="3">
        <v>2.4207119741100325</v>
      </c>
      <c r="I77" s="2">
        <v>4.0524013449218469E-3</v>
      </c>
      <c r="J77" s="2" t="str" cm="1">
        <f t="array" ref="J7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77" s="2" t="str" cm="1">
        <f t="array" ref="K7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8" spans="1:11">
      <c r="A78" s="1" t="s">
        <v>72</v>
      </c>
      <c r="B78" s="1" t="s">
        <v>51</v>
      </c>
      <c r="C78">
        <v>323</v>
      </c>
      <c r="D78">
        <v>660</v>
      </c>
      <c r="E78">
        <v>983</v>
      </c>
      <c r="F78" s="2">
        <v>0.32858596134282808</v>
      </c>
      <c r="G78" s="2">
        <v>0.67141403865717197</v>
      </c>
      <c r="H78" s="3">
        <v>2.0433436532507741</v>
      </c>
      <c r="I78" s="2">
        <v>3.768694912070175E-3</v>
      </c>
      <c r="J78" s="2" t="str" cm="1">
        <f t="array" ref="J7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78" s="2" t="str" cm="1">
        <f t="array" ref="K7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79" spans="1:11">
      <c r="A79" s="1" t="s">
        <v>73</v>
      </c>
      <c r="B79" s="1" t="s">
        <v>51</v>
      </c>
      <c r="C79">
        <v>351</v>
      </c>
      <c r="D79">
        <v>583</v>
      </c>
      <c r="E79">
        <v>934</v>
      </c>
      <c r="F79" s="2">
        <v>0.37580299785867238</v>
      </c>
      <c r="G79" s="2">
        <v>0.62419700214132767</v>
      </c>
      <c r="H79" s="3">
        <v>1.6609686609686609</v>
      </c>
      <c r="I79" s="2">
        <v>3.5808352470737981E-3</v>
      </c>
      <c r="J79" s="2" t="str" cm="1">
        <f t="array" ref="J79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79" s="2" t="str" cm="1">
        <f t="array" ref="K79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80" spans="1:11">
      <c r="A80" s="1" t="s">
        <v>74</v>
      </c>
      <c r="B80" s="1" t="s">
        <v>51</v>
      </c>
      <c r="C80">
        <v>299</v>
      </c>
      <c r="D80">
        <v>519</v>
      </c>
      <c r="E80">
        <v>818</v>
      </c>
      <c r="F80" s="2">
        <v>0.36552567237163813</v>
      </c>
      <c r="G80" s="2">
        <v>0.63447432762836187</v>
      </c>
      <c r="H80" s="3">
        <v>1.7357859531772575</v>
      </c>
      <c r="I80" s="2">
        <v>3.1361062442252321E-3</v>
      </c>
      <c r="J80" s="2" t="str" cm="1">
        <f t="array" ref="J80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80" s="2" t="str" cm="1">
        <f t="array" ref="K80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81" spans="1:11">
      <c r="A81" s="1" t="s">
        <v>75</v>
      </c>
      <c r="B81" s="1" t="s">
        <v>51</v>
      </c>
      <c r="C81">
        <v>270</v>
      </c>
      <c r="D81">
        <v>410</v>
      </c>
      <c r="E81">
        <v>680</v>
      </c>
      <c r="F81" s="2">
        <v>0.39705882352941174</v>
      </c>
      <c r="G81" s="2">
        <v>0.6029411764705882</v>
      </c>
      <c r="H81" s="3">
        <v>1.5185185185185186</v>
      </c>
      <c r="I81" s="2">
        <v>2.6070320856640072E-3</v>
      </c>
      <c r="J81" s="2" t="str" cm="1">
        <f t="array" ref="J8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81" s="2" t="str" cm="1">
        <f t="array" ref="K8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82" spans="1:11">
      <c r="A82" s="1" t="s">
        <v>76</v>
      </c>
      <c r="B82" s="1" t="s">
        <v>51</v>
      </c>
      <c r="C82">
        <v>212</v>
      </c>
      <c r="D82">
        <v>422</v>
      </c>
      <c r="E82">
        <v>634</v>
      </c>
      <c r="F82" s="2">
        <v>0.33438485804416401</v>
      </c>
      <c r="G82" s="2">
        <v>0.66561514195583593</v>
      </c>
      <c r="H82" s="3">
        <v>1.9905660377358489</v>
      </c>
      <c r="I82" s="2">
        <v>2.4306740328102656E-3</v>
      </c>
      <c r="J82" s="2" t="str" cm="1">
        <f t="array" ref="J8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82" s="2" t="str" cm="1">
        <f t="array" ref="K8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83" spans="1:11">
      <c r="A83" s="1" t="s">
        <v>77</v>
      </c>
      <c r="B83" s="1" t="s">
        <v>51</v>
      </c>
      <c r="C83">
        <v>239</v>
      </c>
      <c r="D83">
        <v>395</v>
      </c>
      <c r="E83">
        <v>634</v>
      </c>
      <c r="F83" s="2">
        <v>0.37697160883280756</v>
      </c>
      <c r="G83" s="2">
        <v>0.62302839116719244</v>
      </c>
      <c r="H83" s="3">
        <v>1.6527196652719665</v>
      </c>
      <c r="I83" s="2">
        <v>2.4306740328102656E-3</v>
      </c>
      <c r="J83" s="2" t="str" cm="1">
        <f t="array" ref="J8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83" s="2" t="str" cm="1">
        <f t="array" ref="K8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优先排查价格、库存、详情页和评价</v>
      </c>
    </row>
    <row r="84" spans="1:11">
      <c r="A84" s="1" t="s">
        <v>80</v>
      </c>
      <c r="B84" s="1" t="s">
        <v>81</v>
      </c>
      <c r="C84">
        <v>164</v>
      </c>
      <c r="D84">
        <v>248</v>
      </c>
      <c r="E84">
        <v>412</v>
      </c>
      <c r="F84" s="2">
        <v>0.39805825242718446</v>
      </c>
      <c r="G84" s="2">
        <v>0.60194174757281549</v>
      </c>
      <c r="H84" s="3">
        <v>1.5121951219512195</v>
      </c>
      <c r="I84" s="2">
        <v>1.5795547342552514E-3</v>
      </c>
      <c r="J84" s="2" t="str" cm="1">
        <f t="array" ref="J8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84" s="2" t="str" cm="1">
        <f t="array" ref="K8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85" spans="1:11">
      <c r="A85" s="1" t="s">
        <v>82</v>
      </c>
      <c r="B85" s="1" t="s">
        <v>81</v>
      </c>
      <c r="C85">
        <v>131</v>
      </c>
      <c r="D85">
        <v>229</v>
      </c>
      <c r="E85">
        <v>360</v>
      </c>
      <c r="F85" s="2">
        <v>0.36388888888888887</v>
      </c>
      <c r="G85" s="2">
        <v>0.63611111111111107</v>
      </c>
      <c r="H85" s="3">
        <v>1.748091603053435</v>
      </c>
      <c r="I85" s="2">
        <v>1.3801934571162392E-3</v>
      </c>
      <c r="J85" s="2" t="str" cm="1">
        <f t="array" ref="J8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85" s="2" t="str" cm="1">
        <f t="array" ref="K8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86" spans="1:11">
      <c r="A86" s="1" t="s">
        <v>84</v>
      </c>
      <c r="B86" s="1" t="s">
        <v>81</v>
      </c>
      <c r="C86">
        <v>82</v>
      </c>
      <c r="D86">
        <v>252</v>
      </c>
      <c r="E86">
        <v>334</v>
      </c>
      <c r="F86" s="2">
        <v>0.24550898203592814</v>
      </c>
      <c r="G86" s="2">
        <v>0.75449101796407181</v>
      </c>
      <c r="H86" s="3">
        <v>3.0731707317073171</v>
      </c>
      <c r="I86" s="2">
        <v>1.2805128185467329E-3</v>
      </c>
      <c r="J86" s="2" t="str" cm="1">
        <f t="array" ref="J8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86" s="2" t="str" cm="1">
        <f t="array" ref="K8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87" spans="1:11">
      <c r="A87" s="1" t="s">
        <v>85</v>
      </c>
      <c r="B87" s="1" t="s">
        <v>81</v>
      </c>
      <c r="C87">
        <v>124</v>
      </c>
      <c r="D87">
        <v>192</v>
      </c>
      <c r="E87">
        <v>316</v>
      </c>
      <c r="F87" s="2">
        <v>0.39240506329113922</v>
      </c>
      <c r="G87" s="2">
        <v>0.60759493670886078</v>
      </c>
      <c r="H87" s="3">
        <v>1.5483870967741935</v>
      </c>
      <c r="I87" s="2">
        <v>1.211503145690921E-3</v>
      </c>
      <c r="J87" s="2" t="str" cm="1">
        <f t="array" ref="J8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87" s="2" t="str" cm="1">
        <f t="array" ref="K8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88" spans="1:11">
      <c r="A88" s="1" t="s">
        <v>86</v>
      </c>
      <c r="B88" s="1" t="s">
        <v>81</v>
      </c>
      <c r="C88">
        <v>105</v>
      </c>
      <c r="D88">
        <v>180</v>
      </c>
      <c r="E88">
        <v>285</v>
      </c>
      <c r="F88" s="2">
        <v>0.36842105263157893</v>
      </c>
      <c r="G88" s="2">
        <v>0.63157894736842102</v>
      </c>
      <c r="H88" s="3">
        <v>1.7142857142857142</v>
      </c>
      <c r="I88" s="2">
        <v>1.0926531535503559E-3</v>
      </c>
      <c r="J88" s="2" t="str" cm="1">
        <f t="array" ref="J8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88" s="2" t="str" cm="1">
        <f t="array" ref="K8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89" spans="1:11">
      <c r="A89" s="1" t="s">
        <v>88</v>
      </c>
      <c r="B89" s="1" t="s">
        <v>81</v>
      </c>
      <c r="C89">
        <v>73</v>
      </c>
      <c r="D89">
        <v>112</v>
      </c>
      <c r="E89">
        <v>185</v>
      </c>
      <c r="F89" s="2">
        <v>0.39459459459459462</v>
      </c>
      <c r="G89" s="2">
        <v>0.60540540540540544</v>
      </c>
      <c r="H89" s="3">
        <v>1.5342465753424657</v>
      </c>
      <c r="I89" s="2">
        <v>7.0926608212917841E-4</v>
      </c>
      <c r="J89" s="2" t="str" cm="1">
        <f t="array" ref="J89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89" s="2" t="str" cm="1">
        <f t="array" ref="K89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90" spans="1:11">
      <c r="A90" s="1" t="s">
        <v>89</v>
      </c>
      <c r="B90" s="1" t="s">
        <v>81</v>
      </c>
      <c r="C90">
        <v>64</v>
      </c>
      <c r="D90">
        <v>113</v>
      </c>
      <c r="E90">
        <v>177</v>
      </c>
      <c r="F90" s="2">
        <v>0.3615819209039548</v>
      </c>
      <c r="G90" s="2">
        <v>0.6384180790960452</v>
      </c>
      <c r="H90" s="3">
        <v>1.765625</v>
      </c>
      <c r="I90" s="2">
        <v>6.7859511641548428E-4</v>
      </c>
      <c r="J90" s="2" t="str" cm="1">
        <f t="array" ref="J90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90" s="2" t="str" cm="1">
        <f t="array" ref="K90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91" spans="1:11">
      <c r="A91" s="1" t="s">
        <v>90</v>
      </c>
      <c r="B91" s="1" t="s">
        <v>81</v>
      </c>
      <c r="C91">
        <v>68</v>
      </c>
      <c r="D91">
        <v>107</v>
      </c>
      <c r="E91">
        <v>175</v>
      </c>
      <c r="F91" s="2">
        <v>0.38857142857142857</v>
      </c>
      <c r="G91" s="2">
        <v>0.61142857142857143</v>
      </c>
      <c r="H91" s="3">
        <v>1.5735294117647058</v>
      </c>
      <c r="I91" s="2">
        <v>6.709273749870607E-4</v>
      </c>
      <c r="J91" s="2" t="str" cm="1">
        <f t="array" ref="J91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91" s="2" t="str" cm="1">
        <f t="array" ref="K91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92" spans="1:11">
      <c r="A92" s="1" t="s">
        <v>92</v>
      </c>
      <c r="B92" s="1" t="s">
        <v>81</v>
      </c>
      <c r="C92">
        <v>52</v>
      </c>
      <c r="D92">
        <v>119</v>
      </c>
      <c r="E92">
        <v>171</v>
      </c>
      <c r="F92" s="2">
        <v>0.30409356725146197</v>
      </c>
      <c r="G92" s="2">
        <v>0.69590643274853803</v>
      </c>
      <c r="H92" s="3">
        <v>2.2884615384615383</v>
      </c>
      <c r="I92" s="2">
        <v>6.5559189213021363E-4</v>
      </c>
      <c r="J92" s="2" t="str" cm="1">
        <f t="array" ref="J92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92" s="2" t="str" cm="1">
        <f t="array" ref="K92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93" spans="1:11">
      <c r="A93" s="1" t="s">
        <v>94</v>
      </c>
      <c r="B93" s="1" t="s">
        <v>81</v>
      </c>
      <c r="C93">
        <v>55</v>
      </c>
      <c r="D93">
        <v>102</v>
      </c>
      <c r="E93">
        <v>157</v>
      </c>
      <c r="F93" s="2">
        <v>0.3503184713375796</v>
      </c>
      <c r="G93" s="2">
        <v>0.64968152866242035</v>
      </c>
      <c r="H93" s="3">
        <v>1.8545454545454545</v>
      </c>
      <c r="I93" s="2">
        <v>6.0191770213124875E-4</v>
      </c>
      <c r="J93" s="2" t="str" cm="1">
        <f t="array" ref="J93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93" s="2" t="str" cm="1">
        <f t="array" ref="K93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94" spans="1:11">
      <c r="A94" s="1" t="s">
        <v>95</v>
      </c>
      <c r="B94" s="1" t="s">
        <v>81</v>
      </c>
      <c r="C94">
        <v>41</v>
      </c>
      <c r="D94">
        <v>92</v>
      </c>
      <c r="E94">
        <v>133</v>
      </c>
      <c r="F94" s="2">
        <v>0.30827067669172931</v>
      </c>
      <c r="G94" s="2">
        <v>0.69172932330827064</v>
      </c>
      <c r="H94" s="3">
        <v>2.2439024390243905</v>
      </c>
      <c r="I94" s="2">
        <v>5.0990480499016615E-4</v>
      </c>
      <c r="J94" s="2" t="str" cm="1">
        <f t="array" ref="J94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94" s="2" t="str" cm="1">
        <f t="array" ref="K94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95" spans="1:11">
      <c r="A95" s="1" t="s">
        <v>97</v>
      </c>
      <c r="B95" s="1" t="s">
        <v>81</v>
      </c>
      <c r="C95">
        <v>42</v>
      </c>
      <c r="D95">
        <v>73</v>
      </c>
      <c r="E95">
        <v>115</v>
      </c>
      <c r="F95" s="2">
        <v>0.36521739130434783</v>
      </c>
      <c r="G95" s="2">
        <v>0.63478260869565217</v>
      </c>
      <c r="H95" s="3">
        <v>1.7380952380952381</v>
      </c>
      <c r="I95" s="2">
        <v>4.4089513213435414E-4</v>
      </c>
      <c r="J95" s="2" t="str" cm="1">
        <f t="array" ref="J95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95" s="2" t="str" cm="1">
        <f t="array" ref="K95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96" spans="1:11">
      <c r="A96" s="1" t="s">
        <v>98</v>
      </c>
      <c r="B96" s="1" t="s">
        <v>81</v>
      </c>
      <c r="C96">
        <v>36</v>
      </c>
      <c r="D96">
        <v>76</v>
      </c>
      <c r="E96">
        <v>112</v>
      </c>
      <c r="F96" s="2">
        <v>0.32142857142857145</v>
      </c>
      <c r="G96" s="2">
        <v>0.6785714285714286</v>
      </c>
      <c r="H96" s="3">
        <v>2.1111111111111112</v>
      </c>
      <c r="I96" s="2">
        <v>4.2939351999171882E-4</v>
      </c>
      <c r="J96" s="2" t="str" cm="1">
        <f t="array" ref="J96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96" s="2" t="str" cm="1">
        <f t="array" ref="K96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97" spans="1:11">
      <c r="A97" s="1" t="s">
        <v>99</v>
      </c>
      <c r="B97" s="1" t="s">
        <v>81</v>
      </c>
      <c r="C97">
        <v>41</v>
      </c>
      <c r="D97">
        <v>64</v>
      </c>
      <c r="E97">
        <v>105</v>
      </c>
      <c r="F97" s="2">
        <v>0.39047619047619048</v>
      </c>
      <c r="G97" s="2">
        <v>0.60952380952380958</v>
      </c>
      <c r="H97" s="3">
        <v>1.5609756097560976</v>
      </c>
      <c r="I97" s="2">
        <v>4.0255642499223643E-4</v>
      </c>
      <c r="J97" s="2" t="str" cm="1">
        <f t="array" ref="J97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中高风险</v>
      </c>
      <c r="K97" s="2" t="str" cm="1">
        <f t="array" ref="K97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  <row r="98" spans="1:11">
      <c r="A98" s="1" t="s">
        <v>100</v>
      </c>
      <c r="B98" s="1" t="s">
        <v>81</v>
      </c>
      <c r="C98">
        <v>26</v>
      </c>
      <c r="D98">
        <v>76</v>
      </c>
      <c r="E98">
        <v>102</v>
      </c>
      <c r="F98" s="2">
        <v>0.25490196078431371</v>
      </c>
      <c r="G98" s="2">
        <v>0.74509803921568629</v>
      </c>
      <c r="H98" s="3">
        <v>2.9230769230769229</v>
      </c>
      <c r="I98" s="2">
        <v>3.9105481284960111E-4</v>
      </c>
      <c r="J98" s="2" t="str" cm="1">
        <f t="array" ref="J98">_xlfn.IFS(_11_brand_quadrant_matrix_window_48h[[#This Row],[C/A风险比]]&gt;=2,"高风险",_11_brand_quadrant_matrix_window_48h[[#This Row],[C/A风险比]]&gt;=1.5,"中高风险",_11_brand_quadrant_matrix_window_48h[[#This Row],[C/A风险比]]&gt;=1,"中风险",TRUE,"低风险")</f>
        <v>高风险</v>
      </c>
      <c r="K98" s="2" t="str" cm="1">
        <f t="array" ref="K98">_xlfn.IFS(_11_brand_quadrant_matrix_window_48h[[#This Row],[品牌象限]]="核心健康品牌","增加曝光，保持供给稳定",_11_brand_quadrant_matrix_window_48h[[#This Row],[品牌象限]]="重点治理品牌","优先排查价格、库存、详情页和评价",_11_brand_quadrant_matrix_window_48h[[#This Row],[品牌象限]]="潜力/普通长尾品牌","小流量测试，观察是否能放量",_11_brand_quadrant_matrix_window_48h[[#This Row],[品牌象限]]="问题长尾品牌","降低资源优先级，暂不重点投放")</f>
        <v>降低资源优先级，暂不重点投放</v>
      </c>
    </row>
  </sheetData>
  <phoneticPr fontId="1" type="noConversion"/>
  <conditionalFormatting sqref="H2:H98">
    <cfRule type="colorScale" priority="1">
      <colorScale>
        <cfvo type="min"/>
        <cfvo type="max"/>
        <color theme="0"/>
        <color rgb="FFC00000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3F42-EDF7-463D-81B9-4EDCC9A235E8}">
  <dimension ref="A3:H16"/>
  <sheetViews>
    <sheetView workbookViewId="0">
      <selection activeCell="F19" sqref="F19"/>
    </sheetView>
  </sheetViews>
  <sheetFormatPr defaultRowHeight="14.15"/>
  <cols>
    <col min="1" max="1" width="8.78515625" bestFit="1" customWidth="1"/>
    <col min="2" max="2" width="10.92578125" bestFit="1" customWidth="1"/>
    <col min="3" max="4" width="16.85546875" bestFit="1" customWidth="1"/>
    <col min="5" max="5" width="20.78515625" bestFit="1" customWidth="1"/>
    <col min="6" max="6" width="22.78515625" bestFit="1" customWidth="1"/>
    <col min="7" max="7" width="18.2109375" bestFit="1" customWidth="1"/>
    <col min="8" max="8" width="14" customWidth="1"/>
  </cols>
  <sheetData>
    <row r="3" spans="1:8">
      <c r="A3" s="10" t="s">
        <v>179</v>
      </c>
      <c r="B3" t="s">
        <v>168</v>
      </c>
      <c r="C3" t="s">
        <v>169</v>
      </c>
      <c r="D3" t="s">
        <v>170</v>
      </c>
      <c r="E3" t="s">
        <v>173</v>
      </c>
      <c r="F3" t="s">
        <v>171</v>
      </c>
      <c r="G3" t="s">
        <v>172</v>
      </c>
      <c r="H3" s="12" t="s">
        <v>174</v>
      </c>
    </row>
    <row r="4" spans="1:8">
      <c r="A4" s="11" t="s">
        <v>1</v>
      </c>
      <c r="B4" s="1">
        <v>20</v>
      </c>
      <c r="C4" s="1">
        <v>17956</v>
      </c>
      <c r="D4" s="1">
        <v>19290</v>
      </c>
      <c r="E4" s="1">
        <v>37246</v>
      </c>
      <c r="F4" s="13">
        <v>0.48666326852387687</v>
      </c>
      <c r="G4" s="14">
        <v>1.0650659345924738</v>
      </c>
      <c r="H4" s="15">
        <f>C4/E4</f>
        <v>0.48209203672877626</v>
      </c>
    </row>
    <row r="5" spans="1:8">
      <c r="A5" s="11" t="s">
        <v>22</v>
      </c>
      <c r="B5" s="1">
        <v>28</v>
      </c>
      <c r="C5" s="1">
        <v>3170</v>
      </c>
      <c r="D5" s="1">
        <v>3092</v>
      </c>
      <c r="E5" s="1">
        <v>6262</v>
      </c>
      <c r="F5" s="13">
        <v>0.50798773353200344</v>
      </c>
      <c r="G5" s="14">
        <v>0.98760143758844543</v>
      </c>
      <c r="H5" s="15">
        <f>C5/E5</f>
        <v>0.50622804215905459</v>
      </c>
    </row>
    <row r="6" spans="1:8">
      <c r="A6" s="11" t="s">
        <v>81</v>
      </c>
      <c r="B6" s="1">
        <v>20</v>
      </c>
      <c r="C6" s="1">
        <v>1536</v>
      </c>
      <c r="D6" s="1">
        <v>2630</v>
      </c>
      <c r="E6" s="1">
        <v>4166</v>
      </c>
      <c r="F6" s="13">
        <v>0.36480234211595569</v>
      </c>
      <c r="G6" s="14">
        <v>1.8085717227800822</v>
      </c>
      <c r="H6" s="15">
        <f>C6/E6</f>
        <v>0.3686989918386942</v>
      </c>
    </row>
    <row r="7" spans="1:8">
      <c r="A7" s="11" t="s">
        <v>51</v>
      </c>
      <c r="B7" s="1">
        <v>29</v>
      </c>
      <c r="C7" s="1">
        <v>35847</v>
      </c>
      <c r="D7" s="1">
        <v>59069</v>
      </c>
      <c r="E7" s="1">
        <v>94916</v>
      </c>
      <c r="F7" s="13">
        <v>0.36417232208888356</v>
      </c>
      <c r="G7" s="14">
        <v>1.8082467289210766</v>
      </c>
      <c r="H7" s="15">
        <f>C7/E7</f>
        <v>0.37767078258670822</v>
      </c>
    </row>
    <row r="8" spans="1:8">
      <c r="A8" s="11" t="s">
        <v>163</v>
      </c>
      <c r="B8" s="1">
        <v>97</v>
      </c>
      <c r="C8" s="1">
        <v>58509</v>
      </c>
      <c r="D8" s="1">
        <v>84081</v>
      </c>
      <c r="E8" s="1">
        <v>142590</v>
      </c>
      <c r="F8" s="13">
        <v>0.43107181538423089</v>
      </c>
      <c r="G8" s="14">
        <v>1.418193283903493</v>
      </c>
    </row>
    <row r="11" spans="1:8">
      <c r="A11" s="10" t="s">
        <v>180</v>
      </c>
      <c r="B11" t="s">
        <v>164</v>
      </c>
      <c r="C11" t="s">
        <v>165</v>
      </c>
      <c r="D11" t="s">
        <v>166</v>
      </c>
      <c r="E11" t="s">
        <v>167</v>
      </c>
    </row>
    <row r="12" spans="1:8">
      <c r="A12" s="11" t="s">
        <v>175</v>
      </c>
      <c r="B12" s="1">
        <v>21</v>
      </c>
      <c r="C12" s="1">
        <v>9091</v>
      </c>
      <c r="D12" s="1">
        <v>8174</v>
      </c>
      <c r="E12" s="1">
        <v>17265</v>
      </c>
    </row>
    <row r="13" spans="1:8">
      <c r="A13" s="11" t="s">
        <v>176</v>
      </c>
      <c r="B13" s="1">
        <v>15</v>
      </c>
      <c r="C13" s="1">
        <v>7866</v>
      </c>
      <c r="D13" s="1">
        <v>18243</v>
      </c>
      <c r="E13" s="1">
        <v>26109</v>
      </c>
    </row>
    <row r="14" spans="1:8">
      <c r="A14" s="11" t="s">
        <v>177</v>
      </c>
      <c r="B14" s="1">
        <v>41</v>
      </c>
      <c r="C14" s="1">
        <v>30736</v>
      </c>
      <c r="D14" s="1">
        <v>39683</v>
      </c>
      <c r="E14" s="1">
        <v>70419</v>
      </c>
    </row>
    <row r="15" spans="1:8">
      <c r="A15" s="11" t="s">
        <v>178</v>
      </c>
      <c r="B15" s="1">
        <v>20</v>
      </c>
      <c r="C15" s="1">
        <v>10816</v>
      </c>
      <c r="D15" s="1">
        <v>17981</v>
      </c>
      <c r="E15" s="1">
        <v>28797</v>
      </c>
    </row>
    <row r="16" spans="1:8">
      <c r="A16" s="11" t="s">
        <v>163</v>
      </c>
      <c r="B16" s="1">
        <v>97</v>
      </c>
      <c r="C16" s="1">
        <v>58509</v>
      </c>
      <c r="D16" s="1">
        <v>84081</v>
      </c>
      <c r="E16" s="1">
        <v>142590</v>
      </c>
    </row>
  </sheetData>
  <phoneticPr fontId="1" type="noConversion"/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15E882-94D8-4D17-9056-5A452D8632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01_口径说明</vt:lpstr>
      <vt:lpstr>02_品牌明细表</vt:lpstr>
      <vt:lpstr>03_品牌数据透视表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 mo</dc:creator>
  <cp:lastModifiedBy>yixin mo</cp:lastModifiedBy>
  <dcterms:created xsi:type="dcterms:W3CDTF">2026-07-06T10:45:09Z</dcterms:created>
  <dcterms:modified xsi:type="dcterms:W3CDTF">2026-07-06T13:09:41Z</dcterms:modified>
</cp:coreProperties>
</file>