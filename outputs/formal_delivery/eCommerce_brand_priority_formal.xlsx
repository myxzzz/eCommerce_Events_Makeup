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a_learn\eCommerce_Events_History\outputs\formal_delivery\"/>
    </mc:Choice>
  </mc:AlternateContent>
  <xr:revisionPtr revIDLastSave="0" documentId="13_ncr:1_{A6A7CF75-B144-4F25-850F-8133FD730A86}" xr6:coauthVersionLast="47" xr6:coauthVersionMax="47" xr10:uidLastSave="{00000000-0000-0000-0000-000000000000}"/>
  <bookViews>
    <workbookView xWindow="-180" yWindow="1577" windowWidth="16157" windowHeight="8520" activeTab="1" xr2:uid="{00000000-000D-0000-FFFF-FFFF00000000}"/>
  </bookViews>
  <sheets>
    <sheet name="01_管理层总览" sheetId="1" r:id="rId1"/>
    <sheet name="02_品牌优先级" sheetId="2" r:id="rId2"/>
    <sheet name="03_窗口敏感性" sheetId="3" r:id="rId3"/>
    <sheet name="04_对账与质量" sheetId="4" r:id="rId4"/>
    <sheet name="00_口径与参数" sheetId="5" r:id="rId5"/>
    <sheet name="05_KPI数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5" l="1"/>
  <c r="N85" i="2" s="1"/>
  <c r="P85" i="2" s="1"/>
  <c r="Q85" i="2" s="1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F41" i="1"/>
  <c r="E41" i="1"/>
  <c r="D41" i="1"/>
  <c r="C41" i="1"/>
  <c r="B41" i="1"/>
  <c r="A41" i="1"/>
  <c r="F40" i="1"/>
  <c r="E40" i="1"/>
  <c r="D40" i="1"/>
  <c r="C40" i="1"/>
  <c r="B40" i="1"/>
  <c r="A40" i="1"/>
  <c r="F39" i="1"/>
  <c r="E39" i="1"/>
  <c r="D39" i="1"/>
  <c r="C39" i="1"/>
  <c r="B39" i="1"/>
  <c r="A39" i="1"/>
  <c r="F38" i="1"/>
  <c r="E38" i="1"/>
  <c r="D38" i="1"/>
  <c r="C38" i="1"/>
  <c r="B38" i="1"/>
  <c r="A38" i="1"/>
  <c r="F37" i="1"/>
  <c r="E37" i="1"/>
  <c r="D37" i="1"/>
  <c r="C37" i="1"/>
  <c r="B37" i="1"/>
  <c r="A37" i="1"/>
  <c r="F36" i="1"/>
  <c r="E36" i="1"/>
  <c r="D36" i="1"/>
  <c r="C36" i="1"/>
  <c r="B36" i="1"/>
  <c r="A36" i="1"/>
  <c r="F35" i="1"/>
  <c r="E35" i="1"/>
  <c r="D35" i="1"/>
  <c r="C35" i="1"/>
  <c r="B35" i="1"/>
  <c r="A35" i="1"/>
  <c r="F34" i="1"/>
  <c r="E34" i="1"/>
  <c r="D34" i="1"/>
  <c r="C34" i="1"/>
  <c r="B34" i="1"/>
  <c r="A34" i="1"/>
  <c r="F33" i="1"/>
  <c r="E33" i="1"/>
  <c r="D33" i="1"/>
  <c r="C33" i="1"/>
  <c r="B33" i="1"/>
  <c r="A33" i="1"/>
  <c r="F32" i="1"/>
  <c r="E32" i="1"/>
  <c r="D32" i="1"/>
  <c r="C32" i="1"/>
  <c r="B32" i="1"/>
  <c r="A32" i="1"/>
  <c r="G11" i="1"/>
  <c r="D11" i="1"/>
  <c r="A11" i="1"/>
  <c r="J6" i="1"/>
  <c r="G6" i="1"/>
  <c r="D6" i="1"/>
  <c r="A6" i="1"/>
  <c r="N8" i="2" l="1"/>
  <c r="P8" i="2" s="1"/>
  <c r="Q8" i="2" s="1"/>
  <c r="G37" i="1" s="1"/>
  <c r="N20" i="2"/>
  <c r="P20" i="2" s="1"/>
  <c r="Q20" i="2" s="1"/>
  <c r="N32" i="2"/>
  <c r="P32" i="2" s="1"/>
  <c r="Q32" i="2" s="1"/>
  <c r="N44" i="2"/>
  <c r="P44" i="2" s="1"/>
  <c r="Q44" i="2" s="1"/>
  <c r="N64" i="2"/>
  <c r="P64" i="2" s="1"/>
  <c r="Q64" i="2" s="1"/>
  <c r="N96" i="2"/>
  <c r="P96" i="2" s="1"/>
  <c r="Q96" i="2" s="1"/>
  <c r="N17" i="2"/>
  <c r="P17" i="2" s="1"/>
  <c r="Q17" i="2" s="1"/>
  <c r="N33" i="2"/>
  <c r="P33" i="2" s="1"/>
  <c r="Q33" i="2" s="1"/>
  <c r="N45" i="2"/>
  <c r="P45" i="2" s="1"/>
  <c r="Q45" i="2" s="1"/>
  <c r="N61" i="2"/>
  <c r="P61" i="2" s="1"/>
  <c r="Q61" i="2" s="1"/>
  <c r="N73" i="2"/>
  <c r="P73" i="2" s="1"/>
  <c r="Q73" i="2" s="1"/>
  <c r="N93" i="2"/>
  <c r="P93" i="2" s="1"/>
  <c r="Q93" i="2" s="1"/>
  <c r="N4" i="2"/>
  <c r="N16" i="2"/>
  <c r="P16" i="2" s="1"/>
  <c r="Q16" i="2" s="1"/>
  <c r="N28" i="2"/>
  <c r="P28" i="2" s="1"/>
  <c r="Q28" i="2" s="1"/>
  <c r="N40" i="2"/>
  <c r="P40" i="2" s="1"/>
  <c r="Q40" i="2" s="1"/>
  <c r="N48" i="2"/>
  <c r="P48" i="2" s="1"/>
  <c r="Q48" i="2" s="1"/>
  <c r="N56" i="2"/>
  <c r="P56" i="2" s="1"/>
  <c r="Q56" i="2" s="1"/>
  <c r="N68" i="2"/>
  <c r="P68" i="2" s="1"/>
  <c r="Q68" i="2" s="1"/>
  <c r="N76" i="2"/>
  <c r="P76" i="2" s="1"/>
  <c r="Q76" i="2" s="1"/>
  <c r="N80" i="2"/>
  <c r="P80" i="2" s="1"/>
  <c r="Q80" i="2" s="1"/>
  <c r="N84" i="2"/>
  <c r="P84" i="2" s="1"/>
  <c r="Q84" i="2" s="1"/>
  <c r="N92" i="2"/>
  <c r="P92" i="2" s="1"/>
  <c r="Q92" i="2" s="1"/>
  <c r="N21" i="2"/>
  <c r="P21" i="2" s="1"/>
  <c r="Q21" i="2" s="1"/>
  <c r="N65" i="2"/>
  <c r="P65" i="2" s="1"/>
  <c r="Q65" i="2" s="1"/>
  <c r="N12" i="2"/>
  <c r="P12" i="2" s="1"/>
  <c r="Q12" i="2" s="1"/>
  <c r="G41" i="1" s="1"/>
  <c r="N24" i="2"/>
  <c r="P24" i="2" s="1"/>
  <c r="Q24" i="2" s="1"/>
  <c r="N36" i="2"/>
  <c r="P36" i="2" s="1"/>
  <c r="Q36" i="2" s="1"/>
  <c r="N52" i="2"/>
  <c r="P52" i="2" s="1"/>
  <c r="Q52" i="2" s="1"/>
  <c r="N60" i="2"/>
  <c r="P60" i="2" s="1"/>
  <c r="Q60" i="2" s="1"/>
  <c r="N72" i="2"/>
  <c r="P72" i="2" s="1"/>
  <c r="Q72" i="2" s="1"/>
  <c r="N88" i="2"/>
  <c r="P88" i="2" s="1"/>
  <c r="Q88" i="2" s="1"/>
  <c r="N97" i="2"/>
  <c r="P97" i="2" s="1"/>
  <c r="Q97" i="2" s="1"/>
  <c r="N5" i="2"/>
  <c r="P5" i="2" s="1"/>
  <c r="Q5" i="2" s="1"/>
  <c r="G34" i="1" s="1"/>
  <c r="N37" i="2"/>
  <c r="P37" i="2" s="1"/>
  <c r="Q37" i="2" s="1"/>
  <c r="N57" i="2"/>
  <c r="P57" i="2" s="1"/>
  <c r="Q57" i="2" s="1"/>
  <c r="N89" i="2"/>
  <c r="P89" i="2" s="1"/>
  <c r="Q89" i="2" s="1"/>
  <c r="N13" i="2"/>
  <c r="P13" i="2" s="1"/>
  <c r="Q13" i="2" s="1"/>
  <c r="N41" i="2"/>
  <c r="P41" i="2" s="1"/>
  <c r="Q41" i="2" s="1"/>
  <c r="N77" i="2"/>
  <c r="P77" i="2" s="1"/>
  <c r="Q77" i="2" s="1"/>
  <c r="N6" i="2"/>
  <c r="P6" i="2" s="1"/>
  <c r="Q6" i="2" s="1"/>
  <c r="G35" i="1" s="1"/>
  <c r="N10" i="2"/>
  <c r="P10" i="2" s="1"/>
  <c r="Q10" i="2" s="1"/>
  <c r="G39" i="1" s="1"/>
  <c r="N14" i="2"/>
  <c r="P14" i="2" s="1"/>
  <c r="Q14" i="2" s="1"/>
  <c r="N18" i="2"/>
  <c r="P18" i="2" s="1"/>
  <c r="Q18" i="2" s="1"/>
  <c r="N22" i="2"/>
  <c r="P22" i="2" s="1"/>
  <c r="Q22" i="2" s="1"/>
  <c r="N26" i="2"/>
  <c r="P26" i="2" s="1"/>
  <c r="Q26" i="2" s="1"/>
  <c r="N30" i="2"/>
  <c r="P30" i="2" s="1"/>
  <c r="Q30" i="2" s="1"/>
  <c r="N34" i="2"/>
  <c r="P34" i="2" s="1"/>
  <c r="Q34" i="2" s="1"/>
  <c r="N38" i="2"/>
  <c r="P38" i="2" s="1"/>
  <c r="Q38" i="2" s="1"/>
  <c r="N42" i="2"/>
  <c r="P42" i="2" s="1"/>
  <c r="Q42" i="2" s="1"/>
  <c r="N46" i="2"/>
  <c r="P46" i="2" s="1"/>
  <c r="Q46" i="2" s="1"/>
  <c r="N50" i="2"/>
  <c r="P50" i="2" s="1"/>
  <c r="Q50" i="2" s="1"/>
  <c r="N54" i="2"/>
  <c r="P54" i="2" s="1"/>
  <c r="Q54" i="2" s="1"/>
  <c r="N58" i="2"/>
  <c r="P58" i="2" s="1"/>
  <c r="Q58" i="2" s="1"/>
  <c r="N62" i="2"/>
  <c r="P62" i="2" s="1"/>
  <c r="Q62" i="2" s="1"/>
  <c r="N66" i="2"/>
  <c r="P66" i="2" s="1"/>
  <c r="Q66" i="2" s="1"/>
  <c r="N70" i="2"/>
  <c r="P70" i="2" s="1"/>
  <c r="Q70" i="2" s="1"/>
  <c r="N74" i="2"/>
  <c r="P74" i="2" s="1"/>
  <c r="Q74" i="2" s="1"/>
  <c r="N78" i="2"/>
  <c r="P78" i="2" s="1"/>
  <c r="Q78" i="2" s="1"/>
  <c r="N82" i="2"/>
  <c r="P82" i="2" s="1"/>
  <c r="Q82" i="2" s="1"/>
  <c r="N86" i="2"/>
  <c r="P86" i="2" s="1"/>
  <c r="Q86" i="2" s="1"/>
  <c r="N90" i="2"/>
  <c r="P90" i="2" s="1"/>
  <c r="Q90" i="2" s="1"/>
  <c r="N94" i="2"/>
  <c r="P94" i="2" s="1"/>
  <c r="Q94" i="2" s="1"/>
  <c r="N98" i="2"/>
  <c r="P98" i="2" s="1"/>
  <c r="Q98" i="2" s="1"/>
  <c r="N9" i="2"/>
  <c r="P9" i="2" s="1"/>
  <c r="Q9" i="2" s="1"/>
  <c r="G38" i="1" s="1"/>
  <c r="N29" i="2"/>
  <c r="P29" i="2" s="1"/>
  <c r="Q29" i="2" s="1"/>
  <c r="N49" i="2"/>
  <c r="P49" i="2" s="1"/>
  <c r="Q49" i="2" s="1"/>
  <c r="N69" i="2"/>
  <c r="P69" i="2" s="1"/>
  <c r="Q69" i="2" s="1"/>
  <c r="N81" i="2"/>
  <c r="P81" i="2" s="1"/>
  <c r="Q81" i="2" s="1"/>
  <c r="N3" i="2"/>
  <c r="P3" i="2" s="1"/>
  <c r="N7" i="2"/>
  <c r="P7" i="2" s="1"/>
  <c r="Q7" i="2" s="1"/>
  <c r="G36" i="1" s="1"/>
  <c r="N11" i="2"/>
  <c r="P11" i="2" s="1"/>
  <c r="Q11" i="2" s="1"/>
  <c r="G40" i="1" s="1"/>
  <c r="N15" i="2"/>
  <c r="P15" i="2" s="1"/>
  <c r="Q15" i="2" s="1"/>
  <c r="N19" i="2"/>
  <c r="P19" i="2" s="1"/>
  <c r="Q19" i="2" s="1"/>
  <c r="N23" i="2"/>
  <c r="P23" i="2" s="1"/>
  <c r="Q23" i="2" s="1"/>
  <c r="N27" i="2"/>
  <c r="P27" i="2" s="1"/>
  <c r="Q27" i="2" s="1"/>
  <c r="N31" i="2"/>
  <c r="P31" i="2" s="1"/>
  <c r="Q31" i="2" s="1"/>
  <c r="N35" i="2"/>
  <c r="P35" i="2" s="1"/>
  <c r="Q35" i="2" s="1"/>
  <c r="N39" i="2"/>
  <c r="P39" i="2" s="1"/>
  <c r="Q39" i="2" s="1"/>
  <c r="N43" i="2"/>
  <c r="P43" i="2" s="1"/>
  <c r="Q43" i="2" s="1"/>
  <c r="N47" i="2"/>
  <c r="P47" i="2" s="1"/>
  <c r="Q47" i="2" s="1"/>
  <c r="N51" i="2"/>
  <c r="P51" i="2" s="1"/>
  <c r="Q51" i="2" s="1"/>
  <c r="N55" i="2"/>
  <c r="P55" i="2" s="1"/>
  <c r="Q55" i="2" s="1"/>
  <c r="N59" i="2"/>
  <c r="P59" i="2" s="1"/>
  <c r="Q59" i="2" s="1"/>
  <c r="N63" i="2"/>
  <c r="P63" i="2" s="1"/>
  <c r="Q63" i="2" s="1"/>
  <c r="N67" i="2"/>
  <c r="P67" i="2" s="1"/>
  <c r="Q67" i="2" s="1"/>
  <c r="N71" i="2"/>
  <c r="P71" i="2" s="1"/>
  <c r="Q71" i="2" s="1"/>
  <c r="N75" i="2"/>
  <c r="P75" i="2" s="1"/>
  <c r="Q75" i="2" s="1"/>
  <c r="N79" i="2"/>
  <c r="P79" i="2" s="1"/>
  <c r="Q79" i="2" s="1"/>
  <c r="N83" i="2"/>
  <c r="P83" i="2" s="1"/>
  <c r="Q83" i="2" s="1"/>
  <c r="N87" i="2"/>
  <c r="P87" i="2" s="1"/>
  <c r="Q87" i="2" s="1"/>
  <c r="N91" i="2"/>
  <c r="P91" i="2" s="1"/>
  <c r="Q91" i="2" s="1"/>
  <c r="N95" i="2"/>
  <c r="P95" i="2" s="1"/>
  <c r="Q95" i="2" s="1"/>
  <c r="N99" i="2"/>
  <c r="P99" i="2" s="1"/>
  <c r="Q99" i="2" s="1"/>
  <c r="N25" i="2"/>
  <c r="P25" i="2" s="1"/>
  <c r="Q25" i="2" s="1"/>
  <c r="N53" i="2"/>
  <c r="P53" i="2" s="1"/>
  <c r="Q53" i="2" s="1"/>
  <c r="P4" i="2" l="1"/>
  <c r="Q4" i="2" s="1"/>
  <c r="G33" i="1" s="1"/>
  <c r="Q3" i="2"/>
  <c r="G32" i="1" s="1"/>
  <c r="J11" i="1"/>
</calcChain>
</file>

<file path=xl/sharedStrings.xml><?xml version="1.0" encoding="utf-8"?>
<sst xmlns="http://schemas.openxmlformats.org/spreadsheetml/2006/main" count="323" uniqueCount="254">
  <si>
    <t>品牌运营排查优先级｜管理层总览</t>
  </si>
  <si>
    <t>主口径：有效会话×商品首次观测加购后48小时；UTC；购买优先；未知品牌不参与排名</t>
  </si>
  <si>
    <t>完整48小时样本</t>
  </si>
  <si>
    <t>48小时购买率</t>
  </si>
  <si>
    <t>未明确处置率</t>
  </si>
  <si>
    <t>移除率</t>
  </si>
  <si>
    <t>明确结果购买率</t>
  </si>
  <si>
    <t>总体移除/购买比</t>
  </si>
  <si>
    <t>已知品牌覆盖率</t>
  </si>
  <si>
    <t>优先核查品牌数</t>
  </si>
  <si>
    <t>结果</t>
  </si>
  <si>
    <t>样本数</t>
  </si>
  <si>
    <t>购买A</t>
  </si>
  <si>
    <t>未明确B</t>
  </si>
  <si>
    <t>移除C</t>
  </si>
  <si>
    <t>品牌</t>
  </si>
  <si>
    <t>完整样本</t>
  </si>
  <si>
    <t>购买率</t>
  </si>
  <si>
    <t>移除/购买比</t>
  </si>
  <si>
    <t>行动</t>
  </si>
  <si>
    <t>已知品牌 48 小时运营排查优先级（A+B+C）</t>
  </si>
  <si>
    <t>完整样本数</t>
  </si>
  <si>
    <t>明确结果A+C</t>
  </si>
  <si>
    <t>用户数</t>
  </si>
  <si>
    <t>商品数</t>
  </si>
  <si>
    <t>覆盖量层</t>
  </si>
  <si>
    <t>比值层</t>
  </si>
  <si>
    <t>优先级</t>
  </si>
  <si>
    <t>建议动作</t>
  </si>
  <si>
    <t>grattol</t>
  </si>
  <si>
    <t>masura</t>
  </si>
  <si>
    <t>ingarden</t>
  </si>
  <si>
    <t>pole</t>
  </si>
  <si>
    <t>bluesky</t>
  </si>
  <si>
    <t>haruyama</t>
  </si>
  <si>
    <t>cosmoprofi</t>
  </si>
  <si>
    <t>lovely</t>
  </si>
  <si>
    <t>lianail</t>
  </si>
  <si>
    <t>f.o.x</t>
  </si>
  <si>
    <t>dartnails</t>
  </si>
  <si>
    <t>uskusi</t>
  </si>
  <si>
    <t>oniq</t>
  </si>
  <si>
    <t>beautix</t>
  </si>
  <si>
    <t>pnb</t>
  </si>
  <si>
    <t>roubloff</t>
  </si>
  <si>
    <t>swarovski</t>
  </si>
  <si>
    <t>levrana</t>
  </si>
  <si>
    <t>solomeya</t>
  </si>
  <si>
    <t>kinetics</t>
  </si>
  <si>
    <t>runail</t>
  </si>
  <si>
    <t>irisk</t>
  </si>
  <si>
    <t>bpw.style</t>
  </si>
  <si>
    <t>estel</t>
  </si>
  <si>
    <t>kapous</t>
  </si>
  <si>
    <t>uno</t>
  </si>
  <si>
    <t>freedecor</t>
  </si>
  <si>
    <t>italwax</t>
  </si>
  <si>
    <t>milv</t>
  </si>
  <si>
    <t>domix</t>
  </si>
  <si>
    <t>jessnail</t>
  </si>
  <si>
    <t>concept</t>
  </si>
  <si>
    <t>cnd</t>
  </si>
  <si>
    <t>airnails</t>
  </si>
  <si>
    <t>nagaraku</t>
  </si>
  <si>
    <t>severina</t>
  </si>
  <si>
    <t>zinger</t>
  </si>
  <si>
    <t>de.lux</t>
  </si>
  <si>
    <t>yoko</t>
  </si>
  <si>
    <t>staleks</t>
  </si>
  <si>
    <t>art-visage</t>
  </si>
  <si>
    <t>metzger</t>
  </si>
  <si>
    <t>dewal</t>
  </si>
  <si>
    <t>browxenna</t>
  </si>
  <si>
    <t>farmstay</t>
  </si>
  <si>
    <t>rosi</t>
  </si>
  <si>
    <t>kaaral</t>
  </si>
  <si>
    <t>smart</t>
  </si>
  <si>
    <t>markell</t>
  </si>
  <si>
    <t>dizao</t>
  </si>
  <si>
    <t>shik</t>
  </si>
  <si>
    <t>benovy</t>
  </si>
  <si>
    <t>skinlite</t>
  </si>
  <si>
    <t>refectocil</t>
  </si>
  <si>
    <t>shary</t>
  </si>
  <si>
    <t>depilflax</t>
  </si>
  <si>
    <t>artex</t>
  </si>
  <si>
    <t>beauty-free</t>
  </si>
  <si>
    <t>bioaqua</t>
  </si>
  <si>
    <t>ecolab</t>
  </si>
  <si>
    <t>levissime</t>
  </si>
  <si>
    <t>matrix</t>
  </si>
  <si>
    <t>lador</t>
  </si>
  <si>
    <t>sophin</t>
  </si>
  <si>
    <t>igrobeauty</t>
  </si>
  <si>
    <t>opi</t>
  </si>
  <si>
    <t>eunyul</t>
  </si>
  <si>
    <t>ardell</t>
  </si>
  <si>
    <t>nitrimax</t>
  </si>
  <si>
    <t>strong</t>
  </si>
  <si>
    <t>estelare</t>
  </si>
  <si>
    <t>bodyton</t>
  </si>
  <si>
    <t>polarus</t>
  </si>
  <si>
    <t>farmavita</t>
  </si>
  <si>
    <t>max</t>
  </si>
  <si>
    <t>thuya</t>
  </si>
  <si>
    <t>dermal</t>
  </si>
  <si>
    <t>jas</t>
  </si>
  <si>
    <t>konad</t>
  </si>
  <si>
    <t>soleo</t>
  </si>
  <si>
    <t>provoc</t>
  </si>
  <si>
    <t>siberina</t>
  </si>
  <si>
    <t>limoni</t>
  </si>
  <si>
    <t>elskin</t>
  </si>
  <si>
    <t>missha</t>
  </si>
  <si>
    <t>happyfons</t>
  </si>
  <si>
    <t>insight</t>
  </si>
  <si>
    <t>kaypro</t>
  </si>
  <si>
    <t>marathon</t>
  </si>
  <si>
    <t>enigma</t>
  </si>
  <si>
    <t>entity</t>
  </si>
  <si>
    <t>zeitun</t>
  </si>
  <si>
    <t>kiss</t>
  </si>
  <si>
    <t>lamixx</t>
  </si>
  <si>
    <t>orly</t>
  </si>
  <si>
    <t>gehwol</t>
  </si>
  <si>
    <t>i-laq</t>
  </si>
  <si>
    <t>同一批 72 小时完整样本：24/48/72 小时敏感性</t>
  </si>
  <si>
    <t>窗口（小时）</t>
  </si>
  <si>
    <t>共同样本数</t>
  </si>
  <si>
    <t>窗口</t>
  </si>
  <si>
    <t>24小时</t>
  </si>
  <si>
    <t>48小时</t>
  </si>
  <si>
    <t>72小时</t>
  </si>
  <si>
    <t>数据质量与跨工具对账</t>
  </si>
  <si>
    <t>主队列质量指标</t>
  </si>
  <si>
    <t>数值</t>
  </si>
  <si>
    <t>原始表质量指标</t>
  </si>
  <si>
    <t>cart_event_rows</t>
  </si>
  <si>
    <t>source_row_count</t>
  </si>
  <si>
    <t>invalid_cart_key_event_rows</t>
  </si>
  <si>
    <t>source_min_time_utc</t>
  </si>
  <si>
    <t>2019-12-01 00:00:00+00:00</t>
  </si>
  <si>
    <t>first_observed_cart_rows</t>
  </si>
  <si>
    <t>source_max_time_utc</t>
  </si>
  <si>
    <t>2019-12-31 23:59:57+00:00</t>
  </si>
  <si>
    <t>complete_48h_rows</t>
  </si>
  <si>
    <t>covered_utc_dates</t>
  </si>
  <si>
    <t>incomplete_tail_rows_excluded</t>
  </si>
  <si>
    <t>distinct_users</t>
  </si>
  <si>
    <t>cohort_min_cart_time_utc</t>
  </si>
  <si>
    <t>2019-12-01 00:00:02+00:00</t>
  </si>
  <si>
    <t>distinct_sessions</t>
  </si>
  <si>
    <t>cohort_max_cart_time_utc</t>
  </si>
  <si>
    <t>2019-12-29 23:59:51+00:00</t>
  </si>
  <si>
    <t>distinct_products</t>
  </si>
  <si>
    <t>cohort_max_window_end_utc</t>
  </si>
  <si>
    <t>2019-12-31 23:59:51+00:00</t>
  </si>
  <si>
    <t>distinct_known_brands</t>
  </si>
  <si>
    <t>purchase_group_rows</t>
  </si>
  <si>
    <t>missing_user_id_rows</t>
  </si>
  <si>
    <t>unresolved_group_rows</t>
  </si>
  <si>
    <t>missing_session_rows</t>
  </si>
  <si>
    <t>remove_group_rows</t>
  </si>
  <si>
    <t>missing_product_id_rows</t>
  </si>
  <si>
    <t>missing_brand_rows</t>
  </si>
  <si>
    <t>missing_category_code_rows</t>
  </si>
  <si>
    <t>missing_category_id_rows</t>
  </si>
  <si>
    <t>missing_price_rows</t>
  </si>
  <si>
    <t>nonpositive_price_rows</t>
  </si>
  <si>
    <t>invalid_followup_order_rows</t>
  </si>
  <si>
    <t>unexpected_event_type_rows</t>
  </si>
  <si>
    <t>duplicate_session_product_excess_rows</t>
  </si>
  <si>
    <t>exact_duplicate_excess_rows</t>
  </si>
  <si>
    <t>inconsistent_label_rows</t>
  </si>
  <si>
    <t>检查</t>
  </si>
  <si>
    <t>SQL</t>
  </si>
  <si>
    <t>Python</t>
  </si>
  <si>
    <t>差异</t>
  </si>
  <si>
    <t>容差</t>
  </si>
  <si>
    <t>通过</t>
  </si>
  <si>
    <t>严重级别</t>
  </si>
  <si>
    <t>完整48小时样本数</t>
  </si>
  <si>
    <t>error</t>
  </si>
  <si>
    <t>A组数量</t>
  </si>
  <si>
    <t>B组数量</t>
  </si>
  <si>
    <t>C组数量</t>
  </si>
  <si>
    <t>符合条件品牌数</t>
  </si>
  <si>
    <t>品牌字段一致：brand_cohort_count</t>
  </si>
  <si>
    <t>品牌字段一致：purchase_count</t>
  </si>
  <si>
    <t>品牌字段一致：unresolved_count</t>
  </si>
  <si>
    <t>品牌字段一致：remove_count</t>
  </si>
  <si>
    <t>品牌字段一致：clear_outcome_count</t>
  </si>
  <si>
    <t>品牌字段一致：distinct_users</t>
  </si>
  <si>
    <t>品牌字段一致：distinct_sessions</t>
  </si>
  <si>
    <t>品牌字段一致：distinct_products</t>
  </si>
  <si>
    <t>品牌字段最大差：brand_share_pct</t>
  </si>
  <si>
    <t>品牌字段最大差：purchase_rate_pct</t>
  </si>
  <si>
    <t>品牌字段最大差：unresolved_rate_pct</t>
  </si>
  <si>
    <t>品牌字段最大差：remove_rate_pct</t>
  </si>
  <si>
    <t>品牌字段最大差：clear_purchase_rate_pct</t>
  </si>
  <si>
    <t>品牌字段最大差：remove_to_purchase_ratio</t>
  </si>
  <si>
    <t>品牌优先级标签差异数</t>
  </si>
  <si>
    <t>品牌集合差异数</t>
  </si>
  <si>
    <t>旧48小时CSV与正式重建的差异行</t>
  </si>
  <si>
    <t>warning</t>
  </si>
  <si>
    <t>敏感性分析使用同一队列</t>
  </si>
  <si>
    <t>购买数量随窗口不下降</t>
  </si>
  <si>
    <t>未明确处置数量随窗口不上升</t>
  </si>
  <si>
    <t>品牌运营优先级：口径与可调参数</t>
  </si>
  <si>
    <t>参数</t>
  </si>
  <si>
    <t>当前值</t>
  </si>
  <si>
    <t>高覆盖量阈值（品牌样本数中位数）</t>
  </si>
  <si>
    <t>移除/购买比筛选线</t>
  </si>
  <si>
    <t>口径</t>
  </si>
  <si>
    <t>定义</t>
  </si>
  <si>
    <t>粒度</t>
  </si>
  <si>
    <t>分母</t>
  </si>
  <si>
    <t>用途</t>
  </si>
  <si>
    <t>限制</t>
  </si>
  <si>
    <t>A/(A+B+C)</t>
  </si>
  <si>
    <t>会话×商品</t>
  </si>
  <si>
    <t>完整48小时首次观测加购</t>
  </si>
  <si>
    <t>主转化指标</t>
  </si>
  <si>
    <t>不是用户购买率</t>
  </si>
  <si>
    <t>B/(A+B+C)</t>
  </si>
  <si>
    <t>保留未购买也未移除样本</t>
  </si>
  <si>
    <t>B不是已确认流失</t>
  </si>
  <si>
    <t>C/(A+B+C)</t>
  </si>
  <si>
    <t>描述移除结果</t>
  </si>
  <si>
    <t>购买优先</t>
  </si>
  <si>
    <t>A/(A+C)</t>
  </si>
  <si>
    <t>仅A+C</t>
  </si>
  <si>
    <t>比较明确结果</t>
  </si>
  <si>
    <t>不能代替整体购买率</t>
  </si>
  <si>
    <t>C/A</t>
  </si>
  <si>
    <t>A&gt;0且A+C≥100</t>
  </si>
  <si>
    <t>品牌排查信号</t>
  </si>
  <si>
    <t>不是概率或因果风险</t>
  </si>
  <si>
    <t>已知品牌样本/全队列</t>
  </si>
  <si>
    <t>完整48小时队列</t>
  </si>
  <si>
    <t>判断品牌榜覆盖</t>
  </si>
  <si>
    <t>未知品牌不参与排名</t>
  </si>
  <si>
    <t>指标</t>
  </si>
  <si>
    <t>cohort_count</t>
  </si>
  <si>
    <t>purchase_count</t>
  </si>
  <si>
    <t>unresolved_count</t>
  </si>
  <si>
    <t>remove_count</t>
  </si>
  <si>
    <t>known_brand_rows</t>
  </si>
  <si>
    <t>purchase_rate_pct</t>
  </si>
  <si>
    <t>unresolved_rate_pct</t>
  </si>
  <si>
    <t>remove_rate_pct</t>
  </si>
  <si>
    <t>clear_purchase_rate_pct</t>
  </si>
  <si>
    <t>remove_to_purchase_ratio</t>
  </si>
  <si>
    <t>known_brand_coverage_pct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</si>
</sst>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&quot;%&quot;"/>
  </numFmts>
  <fonts count="8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i/>
      <sz val="11"/>
      <color rgb="FF24313D"/>
      <name val="Carlito"/>
    </font>
    <font>
      <b/>
      <sz val="11"/>
      <color rgb="FF243B53"/>
      <name val="Carlito"/>
    </font>
    <font>
      <b/>
      <sz val="19"/>
      <color rgb="FF24313D"/>
      <name val="Carlito"/>
    </font>
    <font>
      <sz val="11"/>
      <name val="Carlito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2F5D8A"/>
      </patternFill>
    </fill>
    <fill>
      <patternFill patternType="solid">
        <fgColor rgb="FF243B53"/>
      </patternFill>
    </fill>
    <fill>
      <patternFill patternType="solid">
        <fgColor rgb="FFEEF2F5"/>
      </patternFill>
    </fill>
    <fill>
      <patternFill patternType="solid">
        <fgColor rgb="FFE8F0F7"/>
      </patternFill>
    </fill>
    <fill>
      <patternFill patternType="solid">
        <fgColor rgb="FFF8EBDD"/>
      </patternFill>
    </fill>
  </fills>
  <borders count="12">
    <border>
      <left/>
      <right/>
      <top/>
      <bottom/>
      <diagonal/>
    </border>
    <border>
      <left style="thin">
        <color rgb="FFB8C4CE"/>
      </left>
      <right/>
      <top style="thin">
        <color rgb="FFB8C4CE"/>
      </top>
      <bottom style="thin">
        <color rgb="FFB8C4CE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thin">
        <color rgb="FFB8C4CE"/>
      </left>
      <right/>
      <top style="thin">
        <color rgb="FFB8C4CE"/>
      </top>
      <bottom/>
      <diagonal/>
    </border>
    <border>
      <left/>
      <right/>
      <top style="thin">
        <color rgb="FFB8C4CE"/>
      </top>
      <bottom/>
      <diagonal/>
    </border>
    <border>
      <left/>
      <right style="thin">
        <color rgb="FFB8C4CE"/>
      </right>
      <top style="thin">
        <color rgb="FFB8C4CE"/>
      </top>
      <bottom/>
      <diagonal/>
    </border>
    <border>
      <left style="thin">
        <color rgb="FFB8C4CE"/>
      </left>
      <right/>
      <top/>
      <bottom/>
      <diagonal/>
    </border>
    <border>
      <left/>
      <right style="thin">
        <color rgb="FFB8C4CE"/>
      </right>
      <top/>
      <bottom/>
      <diagonal/>
    </border>
    <border>
      <left style="thin">
        <color rgb="FFB8C4CE"/>
      </left>
      <right/>
      <top/>
      <bottom style="thin">
        <color rgb="FFB8C4CE"/>
      </bottom>
      <diagonal/>
    </border>
    <border>
      <left/>
      <right/>
      <top/>
      <bottom style="thin">
        <color rgb="FFB8C4CE"/>
      </bottom>
      <diagonal/>
    </border>
    <border>
      <left/>
      <right style="thin">
        <color rgb="FFB8C4CE"/>
      </right>
      <top/>
      <bottom style="thin">
        <color rgb="FFB8C4CE"/>
      </bottom>
      <diagonal/>
    </border>
  </borders>
  <cellStyleXfs count="2">
    <xf numFmtId="0" fontId="0" fillId="0" borderId="0"/>
    <xf numFmtId="0" fontId="6" fillId="0" borderId="0"/>
  </cellStyleXfs>
  <cellXfs count="81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2" fontId="0" fillId="0" borderId="0" xfId="1" applyNumberFormat="1" applyFont="1"/>
    <xf numFmtId="0" fontId="0" fillId="0" borderId="0" xfId="1" applyFont="1" applyAlignment="1">
      <alignment wrapText="1"/>
    </xf>
    <xf numFmtId="2" fontId="0" fillId="0" borderId="0" xfId="1" applyNumberFormat="1" applyFont="1" applyAlignment="1">
      <alignment wrapText="1"/>
    </xf>
    <xf numFmtId="3" fontId="0" fillId="0" borderId="0" xfId="1" applyNumberFormat="1" applyFont="1"/>
    <xf numFmtId="176" fontId="0" fillId="0" borderId="0" xfId="1" applyNumberFormat="1" applyFont="1"/>
    <xf numFmtId="0" fontId="1" fillId="2" borderId="0" xfId="1" applyFont="1" applyFill="1" applyAlignment="1">
      <alignment horizontal="center" vertical="center"/>
    </xf>
    <xf numFmtId="0" fontId="0" fillId="0" borderId="0" xfId="1" applyFont="1"/>
    <xf numFmtId="3" fontId="0" fillId="0" borderId="0" xfId="1" applyNumberFormat="1" applyFont="1"/>
    <xf numFmtId="176" fontId="0" fillId="0" borderId="0" xfId="1" applyNumberFormat="1" applyFont="1"/>
    <xf numFmtId="2" fontId="0" fillId="0" borderId="0" xfId="1" applyNumberFormat="1" applyFont="1"/>
    <xf numFmtId="0" fontId="0" fillId="0" borderId="0" xfId="1" applyFont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3" fontId="0" fillId="0" borderId="0" xfId="1" applyNumberFormat="1" applyFont="1" applyAlignment="1">
      <alignment wrapText="1"/>
    </xf>
    <xf numFmtId="10" fontId="0" fillId="0" borderId="0" xfId="1" applyNumberFormat="1" applyFont="1" applyAlignment="1">
      <alignment wrapText="1"/>
    </xf>
    <xf numFmtId="0" fontId="2" fillId="3" borderId="0" xfId="1" applyFont="1" applyFill="1" applyAlignment="1">
      <alignment horizontal="left" vertical="center"/>
    </xf>
    <xf numFmtId="0" fontId="0" fillId="0" borderId="0" xfId="0"/>
    <xf numFmtId="0" fontId="3" fillId="4" borderId="0" xfId="1" applyFont="1" applyFill="1" applyAlignment="1">
      <alignment horizontal="left"/>
    </xf>
    <xf numFmtId="0" fontId="4" fillId="5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3" fontId="5" fillId="5" borderId="4" xfId="1" applyNumberFormat="1" applyFont="1" applyFill="1" applyBorder="1" applyAlignment="1">
      <alignment horizontal="center" vertical="center"/>
    </xf>
    <xf numFmtId="3" fontId="5" fillId="5" borderId="5" xfId="1" applyNumberFormat="1" applyFont="1" applyFill="1" applyBorder="1" applyAlignment="1">
      <alignment horizontal="center" vertical="center"/>
    </xf>
    <xf numFmtId="3" fontId="5" fillId="5" borderId="6" xfId="1" applyNumberFormat="1" applyFont="1" applyFill="1" applyBorder="1" applyAlignment="1">
      <alignment horizontal="center" vertical="center"/>
    </xf>
    <xf numFmtId="3" fontId="5" fillId="5" borderId="7" xfId="1" applyNumberFormat="1" applyFont="1" applyFill="1" applyBorder="1" applyAlignment="1">
      <alignment horizontal="center" vertical="center"/>
    </xf>
    <xf numFmtId="3" fontId="5" fillId="5" borderId="0" xfId="1" applyNumberFormat="1" applyFont="1" applyFill="1" applyAlignment="1">
      <alignment horizontal="center" vertical="center"/>
    </xf>
    <xf numFmtId="3" fontId="5" fillId="5" borderId="8" xfId="1" applyNumberFormat="1" applyFont="1" applyFill="1" applyBorder="1" applyAlignment="1">
      <alignment horizontal="center" vertical="center"/>
    </xf>
    <xf numFmtId="3" fontId="5" fillId="5" borderId="9" xfId="1" applyNumberFormat="1" applyFont="1" applyFill="1" applyBorder="1" applyAlignment="1">
      <alignment horizontal="center" vertical="center"/>
    </xf>
    <xf numFmtId="3" fontId="5" fillId="5" borderId="10" xfId="1" applyNumberFormat="1" applyFont="1" applyFill="1" applyBorder="1" applyAlignment="1">
      <alignment horizontal="center" vertical="center"/>
    </xf>
    <xf numFmtId="3" fontId="5" fillId="5" borderId="11" xfId="1" applyNumberFormat="1" applyFont="1" applyFill="1" applyBorder="1" applyAlignment="1">
      <alignment horizontal="center" vertical="center"/>
    </xf>
    <xf numFmtId="10" fontId="5" fillId="5" borderId="4" xfId="1" applyNumberFormat="1" applyFont="1" applyFill="1" applyBorder="1" applyAlignment="1">
      <alignment horizontal="center" vertical="center"/>
    </xf>
    <xf numFmtId="10" fontId="5" fillId="5" borderId="5" xfId="1" applyNumberFormat="1" applyFont="1" applyFill="1" applyBorder="1" applyAlignment="1">
      <alignment horizontal="center" vertical="center"/>
    </xf>
    <xf numFmtId="10" fontId="5" fillId="5" borderId="6" xfId="1" applyNumberFormat="1" applyFont="1" applyFill="1" applyBorder="1" applyAlignment="1">
      <alignment horizontal="center" vertical="center"/>
    </xf>
    <xf numFmtId="10" fontId="5" fillId="5" borderId="7" xfId="1" applyNumberFormat="1" applyFont="1" applyFill="1" applyBorder="1" applyAlignment="1">
      <alignment horizontal="center" vertical="center"/>
    </xf>
    <xf numFmtId="10" fontId="5" fillId="5" borderId="0" xfId="1" applyNumberFormat="1" applyFont="1" applyFill="1" applyAlignment="1">
      <alignment horizontal="center" vertical="center"/>
    </xf>
    <xf numFmtId="10" fontId="5" fillId="5" borderId="8" xfId="1" applyNumberFormat="1" applyFont="1" applyFill="1" applyBorder="1" applyAlignment="1">
      <alignment horizontal="center" vertical="center"/>
    </xf>
    <xf numFmtId="10" fontId="5" fillId="5" borderId="9" xfId="1" applyNumberFormat="1" applyFont="1" applyFill="1" applyBorder="1" applyAlignment="1">
      <alignment horizontal="center" vertical="center"/>
    </xf>
    <xf numFmtId="10" fontId="5" fillId="5" borderId="10" xfId="1" applyNumberFormat="1" applyFont="1" applyFill="1" applyBorder="1" applyAlignment="1">
      <alignment horizontal="center" vertical="center"/>
    </xf>
    <xf numFmtId="10" fontId="5" fillId="5" borderId="1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10" fontId="5" fillId="4" borderId="4" xfId="1" applyNumberFormat="1" applyFont="1" applyFill="1" applyBorder="1" applyAlignment="1">
      <alignment horizontal="center" vertical="center"/>
    </xf>
    <xf numFmtId="10" fontId="5" fillId="4" borderId="5" xfId="1" applyNumberFormat="1" applyFont="1" applyFill="1" applyBorder="1" applyAlignment="1">
      <alignment horizontal="center" vertical="center"/>
    </xf>
    <xf numFmtId="10" fontId="5" fillId="4" borderId="6" xfId="1" applyNumberFormat="1" applyFont="1" applyFill="1" applyBorder="1" applyAlignment="1">
      <alignment horizontal="center" vertical="center"/>
    </xf>
    <xf numFmtId="10" fontId="5" fillId="4" borderId="7" xfId="1" applyNumberFormat="1" applyFont="1" applyFill="1" applyBorder="1" applyAlignment="1">
      <alignment horizontal="center" vertical="center"/>
    </xf>
    <xf numFmtId="10" fontId="5" fillId="4" borderId="0" xfId="1" applyNumberFormat="1" applyFont="1" applyFill="1" applyAlignment="1">
      <alignment horizontal="center" vertical="center"/>
    </xf>
    <xf numFmtId="10" fontId="5" fillId="4" borderId="8" xfId="1" applyNumberFormat="1" applyFont="1" applyFill="1" applyBorder="1" applyAlignment="1">
      <alignment horizontal="center" vertical="center"/>
    </xf>
    <xf numFmtId="10" fontId="5" fillId="4" borderId="9" xfId="1" applyNumberFormat="1" applyFont="1" applyFill="1" applyBorder="1" applyAlignment="1">
      <alignment horizontal="center" vertical="center"/>
    </xf>
    <xf numFmtId="10" fontId="5" fillId="4" borderId="10" xfId="1" applyNumberFormat="1" applyFont="1" applyFill="1" applyBorder="1" applyAlignment="1">
      <alignment horizontal="center" vertical="center"/>
    </xf>
    <xf numFmtId="10" fontId="5" fillId="4" borderId="11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10" fontId="5" fillId="6" borderId="4" xfId="1" applyNumberFormat="1" applyFont="1" applyFill="1" applyBorder="1" applyAlignment="1">
      <alignment horizontal="center" vertical="center"/>
    </xf>
    <xf numFmtId="10" fontId="5" fillId="6" borderId="5" xfId="1" applyNumberFormat="1" applyFont="1" applyFill="1" applyBorder="1" applyAlignment="1">
      <alignment horizontal="center" vertical="center"/>
    </xf>
    <xf numFmtId="10" fontId="5" fillId="6" borderId="6" xfId="1" applyNumberFormat="1" applyFont="1" applyFill="1" applyBorder="1" applyAlignment="1">
      <alignment horizontal="center" vertical="center"/>
    </xf>
    <xf numFmtId="10" fontId="5" fillId="6" borderId="7" xfId="1" applyNumberFormat="1" applyFont="1" applyFill="1" applyBorder="1" applyAlignment="1">
      <alignment horizontal="center" vertical="center"/>
    </xf>
    <xf numFmtId="10" fontId="5" fillId="6" borderId="0" xfId="1" applyNumberFormat="1" applyFont="1" applyFill="1" applyAlignment="1">
      <alignment horizontal="center" vertical="center"/>
    </xf>
    <xf numFmtId="10" fontId="5" fillId="6" borderId="8" xfId="1" applyNumberFormat="1" applyFont="1" applyFill="1" applyBorder="1" applyAlignment="1">
      <alignment horizontal="center" vertical="center"/>
    </xf>
    <xf numFmtId="10" fontId="5" fillId="6" borderId="9" xfId="1" applyNumberFormat="1" applyFont="1" applyFill="1" applyBorder="1" applyAlignment="1">
      <alignment horizontal="center" vertical="center"/>
    </xf>
    <xf numFmtId="10" fontId="5" fillId="6" borderId="10" xfId="1" applyNumberFormat="1" applyFont="1" applyFill="1" applyBorder="1" applyAlignment="1">
      <alignment horizontal="center" vertical="center"/>
    </xf>
    <xf numFmtId="10" fontId="5" fillId="6" borderId="11" xfId="1" applyNumberFormat="1" applyFont="1" applyFill="1" applyBorder="1" applyAlignment="1">
      <alignment horizontal="center" vertical="center"/>
    </xf>
    <xf numFmtId="2" fontId="5" fillId="6" borderId="4" xfId="1" applyNumberFormat="1" applyFont="1" applyFill="1" applyBorder="1" applyAlignment="1">
      <alignment horizontal="center" vertical="center"/>
    </xf>
    <xf numFmtId="2" fontId="5" fillId="6" borderId="5" xfId="1" applyNumberFormat="1" applyFont="1" applyFill="1" applyBorder="1" applyAlignment="1">
      <alignment horizontal="center" vertical="center"/>
    </xf>
    <xf numFmtId="2" fontId="5" fillId="6" borderId="6" xfId="1" applyNumberFormat="1" applyFont="1" applyFill="1" applyBorder="1" applyAlignment="1">
      <alignment horizontal="center" vertical="center"/>
    </xf>
    <xf numFmtId="2" fontId="5" fillId="6" borderId="7" xfId="1" applyNumberFormat="1" applyFont="1" applyFill="1" applyBorder="1" applyAlignment="1">
      <alignment horizontal="center" vertical="center"/>
    </xf>
    <xf numFmtId="2" fontId="5" fillId="6" borderId="0" xfId="1" applyNumberFormat="1" applyFont="1" applyFill="1" applyAlignment="1">
      <alignment horizontal="center" vertical="center"/>
    </xf>
    <xf numFmtId="2" fontId="5" fillId="6" borderId="8" xfId="1" applyNumberFormat="1" applyFont="1" applyFill="1" applyBorder="1" applyAlignment="1">
      <alignment horizontal="center" vertical="center"/>
    </xf>
    <xf numFmtId="2" fontId="5" fillId="6" borderId="9" xfId="1" applyNumberFormat="1" applyFont="1" applyFill="1" applyBorder="1" applyAlignment="1">
      <alignment horizontal="center" vertical="center"/>
    </xf>
    <xf numFmtId="2" fontId="5" fillId="6" borderId="10" xfId="1" applyNumberFormat="1" applyFont="1" applyFill="1" applyBorder="1" applyAlignment="1">
      <alignment horizontal="center" vertical="center"/>
    </xf>
    <xf numFmtId="2" fontId="5" fillId="6" borderId="11" xfId="1" applyNumberFormat="1" applyFont="1" applyFill="1" applyBorder="1" applyAlignment="1">
      <alignment horizontal="center" vertical="center"/>
    </xf>
    <xf numFmtId="3" fontId="5" fillId="6" borderId="4" xfId="1" applyNumberFormat="1" applyFont="1" applyFill="1" applyBorder="1" applyAlignment="1">
      <alignment horizontal="center" vertical="center"/>
    </xf>
    <xf numFmtId="3" fontId="5" fillId="6" borderId="5" xfId="1" applyNumberFormat="1" applyFont="1" applyFill="1" applyBorder="1" applyAlignment="1">
      <alignment horizontal="center" vertical="center"/>
    </xf>
    <xf numFmtId="3" fontId="5" fillId="6" borderId="6" xfId="1" applyNumberFormat="1" applyFont="1" applyFill="1" applyBorder="1" applyAlignment="1">
      <alignment horizontal="center" vertical="center"/>
    </xf>
    <xf numFmtId="3" fontId="5" fillId="6" borderId="7" xfId="1" applyNumberFormat="1" applyFont="1" applyFill="1" applyBorder="1" applyAlignment="1">
      <alignment horizontal="center" vertical="center"/>
    </xf>
    <xf numFmtId="3" fontId="5" fillId="6" borderId="0" xfId="1" applyNumberFormat="1" applyFont="1" applyFill="1" applyAlignment="1">
      <alignment horizontal="center" vertical="center"/>
    </xf>
    <xf numFmtId="3" fontId="5" fillId="6" borderId="8" xfId="1" applyNumberFormat="1" applyFont="1" applyFill="1" applyBorder="1" applyAlignment="1">
      <alignment horizontal="center" vertical="center"/>
    </xf>
    <xf numFmtId="3" fontId="5" fillId="6" borderId="9" xfId="1" applyNumberFormat="1" applyFont="1" applyFill="1" applyBorder="1" applyAlignment="1">
      <alignment horizontal="center" vertical="center"/>
    </xf>
    <xf numFmtId="3" fontId="5" fillId="6" borderId="10" xfId="1" applyNumberFormat="1" applyFont="1" applyFill="1" applyBorder="1" applyAlignment="1">
      <alignment horizontal="center" vertical="center"/>
    </xf>
    <xf numFmtId="3" fontId="5" fillId="6" borderId="11" xfId="1" applyNumberFormat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2">
    <dxf>
      <font>
        <color rgb="FF2F5D8A"/>
      </font>
      <fill>
        <patternFill patternType="solid">
          <bgColor rgb="FFE8F0F7"/>
        </patternFill>
      </fill>
    </dxf>
    <dxf>
      <font>
        <b/>
        <color rgb="FFD8873B"/>
      </font>
      <fill>
        <patternFill patternType="solid">
          <bgColor rgb="FFF8EB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bde10a749fd943a0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48小时结果构成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v>样本数</c:v>
          </c:tx>
          <c:cat>
            <c:strRef>
              <c:f>'01_管理层总览'!$A$17:$A$19</c:f>
              <c:strCache>
                <c:ptCount val="3"/>
                <c:pt idx="0">
                  <c:v>购买A</c:v>
                </c:pt>
                <c:pt idx="1">
                  <c:v>未明确B</c:v>
                </c:pt>
                <c:pt idx="2">
                  <c:v>移除C</c:v>
                </c:pt>
              </c:strCache>
            </c:strRef>
          </c:cat>
          <c:val>
            <c:numRef>
              <c:f>'01_管理层总览'!$B$17:$B$19</c:f>
              <c:numCache>
                <c:formatCode>General</c:formatCode>
                <c:ptCount val="3"/>
                <c:pt idx="0">
                  <c:v>104696</c:v>
                </c:pt>
                <c:pt idx="1">
                  <c:v>511286</c:v>
                </c:pt>
                <c:pt idx="2">
                  <c:v>156137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5-46A3-8D5D-94A289386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24/48/72 小时结果率比较（%）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购买率</c:v>
          </c:tx>
          <c:invertIfNegative val="1"/>
          <c:cat>
            <c:strRef>
              <c:f>'03_窗口敏感性'!$L$5:$L$7</c:f>
              <c:strCache>
                <c:ptCount val="3"/>
                <c:pt idx="0">
                  <c:v>24小时</c:v>
                </c:pt>
                <c:pt idx="1">
                  <c:v>48小时</c:v>
                </c:pt>
                <c:pt idx="2">
                  <c:v>72小时</c:v>
                </c:pt>
              </c:strCache>
            </c:strRef>
          </c:cat>
          <c:val>
            <c:numRef>
              <c:f>'03_窗口敏感性'!$M$5:$M$7</c:f>
              <c:numCache>
                <c:formatCode>General</c:formatCode>
                <c:ptCount val="3"/>
                <c:pt idx="0">
                  <c:v>13.575799999999999</c:v>
                </c:pt>
                <c:pt idx="1">
                  <c:v>13.6012</c:v>
                </c:pt>
                <c:pt idx="2">
                  <c:v>13.6188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D-4AD7-B062-C2344376F462}"/>
            </c:ext>
          </c:extLst>
        </c:ser>
        <c:ser>
          <c:idx val="1"/>
          <c:order val="1"/>
          <c:tx>
            <c:v>未明确处置率</c:v>
          </c:tx>
          <c:invertIfNegative val="1"/>
          <c:cat>
            <c:strRef>
              <c:f>'03_窗口敏感性'!$L$5:$L$7</c:f>
              <c:strCache>
                <c:ptCount val="3"/>
                <c:pt idx="0">
                  <c:v>24小时</c:v>
                </c:pt>
                <c:pt idx="1">
                  <c:v>48小时</c:v>
                </c:pt>
                <c:pt idx="2">
                  <c:v>72小时</c:v>
                </c:pt>
              </c:strCache>
            </c:strRef>
          </c:cat>
          <c:val>
            <c:numRef>
              <c:f>'03_窗口敏感性'!$N$5:$N$7</c:f>
              <c:numCache>
                <c:formatCode>General</c:formatCode>
                <c:ptCount val="3"/>
                <c:pt idx="0">
                  <c:v>66.2423</c:v>
                </c:pt>
                <c:pt idx="1">
                  <c:v>66.138900000000007</c:v>
                </c:pt>
                <c:pt idx="2">
                  <c:v>66.081900000000005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D-4AD7-B062-C2344376F462}"/>
            </c:ext>
          </c:extLst>
        </c:ser>
        <c:ser>
          <c:idx val="2"/>
          <c:order val="2"/>
          <c:tx>
            <c:v>移除率</c:v>
          </c:tx>
          <c:invertIfNegative val="1"/>
          <c:cat>
            <c:strRef>
              <c:f>'03_窗口敏感性'!$L$5:$L$7</c:f>
              <c:strCache>
                <c:ptCount val="3"/>
                <c:pt idx="0">
                  <c:v>24小时</c:v>
                </c:pt>
                <c:pt idx="1">
                  <c:v>48小时</c:v>
                </c:pt>
                <c:pt idx="2">
                  <c:v>72小时</c:v>
                </c:pt>
              </c:strCache>
            </c:strRef>
          </c:cat>
          <c:val>
            <c:numRef>
              <c:f>'03_窗口敏感性'!$O$5:$O$7</c:f>
              <c:numCache>
                <c:formatCode>General</c:formatCode>
                <c:ptCount val="3"/>
                <c:pt idx="0">
                  <c:v>20.181799999999999</c:v>
                </c:pt>
                <c:pt idx="1">
                  <c:v>20.259899999999998</c:v>
                </c:pt>
                <c:pt idx="2">
                  <c:v>20.299299999999999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6D-4AD7-B062-C2344376F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randPriorityTable" displayName="BrandPriorityTable" ref="A2:Q99" totalsRowShown="0">
  <tableColumns count="17">
    <tableColumn id="1" xr3:uid="{00000000-0010-0000-0000-000001000000}" name="品牌"/>
    <tableColumn id="2" xr3:uid="{00000000-0010-0000-0000-000002000000}" name="完整样本数"/>
    <tableColumn id="3" xr3:uid="{00000000-0010-0000-0000-000003000000}" name="购买A"/>
    <tableColumn id="4" xr3:uid="{00000000-0010-0000-0000-000004000000}" name="未明确B"/>
    <tableColumn id="5" xr3:uid="{00000000-0010-0000-0000-000005000000}" name="移除C"/>
    <tableColumn id="6" xr3:uid="{00000000-0010-0000-0000-000006000000}" name="明确结果A+C"/>
    <tableColumn id="7" xr3:uid="{00000000-0010-0000-0000-000007000000}" name="用户数"/>
    <tableColumn id="8" xr3:uid="{00000000-0010-0000-0000-000008000000}" name="商品数"/>
    <tableColumn id="9" xr3:uid="{00000000-0010-0000-0000-000009000000}" name="购买率"/>
    <tableColumn id="10" xr3:uid="{00000000-0010-0000-0000-00000A000000}" name="未明确处置率"/>
    <tableColumn id="11" xr3:uid="{00000000-0010-0000-0000-00000B000000}" name="移除率"/>
    <tableColumn id="12" xr3:uid="{00000000-0010-0000-0000-00000C000000}" name="明确结果购买率"/>
    <tableColumn id="13" xr3:uid="{00000000-0010-0000-0000-00000D000000}" name="移除/购买比"/>
    <tableColumn id="14" xr3:uid="{00000000-0010-0000-0000-00000E000000}" name="覆盖量层"/>
    <tableColumn id="15" xr3:uid="{00000000-0010-0000-0000-00000F000000}" name="比值层"/>
    <tableColumn id="16" xr3:uid="{00000000-0010-0000-0000-000010000000}" name="优先级"/>
    <tableColumn id="17" xr3:uid="{00000000-0010-0000-0000-000011000000}" name="建议动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workbookViewId="0">
      <selection sqref="A1:L2"/>
    </sheetView>
  </sheetViews>
  <sheetFormatPr defaultRowHeight="14.15"/>
  <cols>
    <col min="1" max="1" width="18" customWidth="1"/>
    <col min="2" max="6" width="17" customWidth="1"/>
    <col min="7" max="7" width="42" customWidth="1"/>
    <col min="8" max="12" width="13" customWidth="1"/>
  </cols>
  <sheetData>
    <row r="1" spans="1:1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5" spans="1:12">
      <c r="A5" s="18" t="s">
        <v>2</v>
      </c>
      <c r="B5" s="19"/>
      <c r="C5" s="20"/>
      <c r="D5" s="18" t="s">
        <v>3</v>
      </c>
      <c r="E5" s="19"/>
      <c r="F5" s="20"/>
      <c r="G5" s="39" t="s">
        <v>4</v>
      </c>
      <c r="H5" s="40"/>
      <c r="I5" s="41"/>
      <c r="J5" s="51" t="s">
        <v>5</v>
      </c>
      <c r="K5" s="52"/>
      <c r="L5" s="53"/>
    </row>
    <row r="6" spans="1:12">
      <c r="A6" s="21">
        <f>'05_KPI数据'!$B$2</f>
        <v>772119</v>
      </c>
      <c r="B6" s="22"/>
      <c r="C6" s="23"/>
      <c r="D6" s="30">
        <f>'05_KPI数据'!$B$11/100</f>
        <v>0.13559599999999999</v>
      </c>
      <c r="E6" s="31"/>
      <c r="F6" s="32"/>
      <c r="G6" s="42">
        <f>'05_KPI数据'!$B$12/100</f>
        <v>0.66218500000000002</v>
      </c>
      <c r="H6" s="43"/>
      <c r="I6" s="44"/>
      <c r="J6" s="54">
        <f>'05_KPI数据'!$B$13/100</f>
        <v>0.20221900000000001</v>
      </c>
      <c r="K6" s="55"/>
      <c r="L6" s="56"/>
    </row>
    <row r="7" spans="1:12">
      <c r="A7" s="24"/>
      <c r="B7" s="25"/>
      <c r="C7" s="26"/>
      <c r="D7" s="33"/>
      <c r="E7" s="34"/>
      <c r="F7" s="35"/>
      <c r="G7" s="45"/>
      <c r="H7" s="46"/>
      <c r="I7" s="47"/>
      <c r="J7" s="57"/>
      <c r="K7" s="58"/>
      <c r="L7" s="59"/>
    </row>
    <row r="8" spans="1:12">
      <c r="A8" s="27"/>
      <c r="B8" s="28"/>
      <c r="C8" s="29"/>
      <c r="D8" s="36"/>
      <c r="E8" s="37"/>
      <c r="F8" s="38"/>
      <c r="G8" s="48"/>
      <c r="H8" s="49"/>
      <c r="I8" s="50"/>
      <c r="J8" s="60"/>
      <c r="K8" s="61"/>
      <c r="L8" s="62"/>
    </row>
    <row r="10" spans="1:12">
      <c r="A10" s="18" t="s">
        <v>6</v>
      </c>
      <c r="B10" s="19"/>
      <c r="C10" s="20"/>
      <c r="D10" s="51" t="s">
        <v>7</v>
      </c>
      <c r="E10" s="52"/>
      <c r="F10" s="53"/>
      <c r="G10" s="39" t="s">
        <v>8</v>
      </c>
      <c r="H10" s="40"/>
      <c r="I10" s="41"/>
      <c r="J10" s="51" t="s">
        <v>9</v>
      </c>
      <c r="K10" s="52"/>
      <c r="L10" s="53"/>
    </row>
    <row r="11" spans="1:12">
      <c r="A11" s="30">
        <f>'05_KPI数据'!$B$14/100</f>
        <v>0.401391</v>
      </c>
      <c r="B11" s="31"/>
      <c r="C11" s="32"/>
      <c r="D11" s="63">
        <f>'05_KPI数据'!$B$15</f>
        <v>1.4913000000000001</v>
      </c>
      <c r="E11" s="64"/>
      <c r="F11" s="65"/>
      <c r="G11" s="42">
        <f>'05_KPI数据'!$B$16/100</f>
        <v>0.55988000000000004</v>
      </c>
      <c r="H11" s="43"/>
      <c r="I11" s="44"/>
      <c r="J11" s="72">
        <f>COUNTIF('02_品牌优先级'!$P$3:$P$99,"优先核查")</f>
        <v>20</v>
      </c>
      <c r="K11" s="73"/>
      <c r="L11" s="74"/>
    </row>
    <row r="12" spans="1:12">
      <c r="A12" s="33"/>
      <c r="B12" s="34"/>
      <c r="C12" s="35"/>
      <c r="D12" s="66"/>
      <c r="E12" s="67"/>
      <c r="F12" s="68"/>
      <c r="G12" s="45"/>
      <c r="H12" s="46"/>
      <c r="I12" s="47"/>
      <c r="J12" s="75"/>
      <c r="K12" s="76"/>
      <c r="L12" s="77"/>
    </row>
    <row r="13" spans="1:12">
      <c r="A13" s="36"/>
      <c r="B13" s="37"/>
      <c r="C13" s="38"/>
      <c r="D13" s="69"/>
      <c r="E13" s="70"/>
      <c r="F13" s="71"/>
      <c r="G13" s="48"/>
      <c r="H13" s="49"/>
      <c r="I13" s="50"/>
      <c r="J13" s="78"/>
      <c r="K13" s="79"/>
      <c r="L13" s="80"/>
    </row>
    <row r="16" spans="1:12">
      <c r="A16" s="1" t="s">
        <v>10</v>
      </c>
      <c r="B16" s="1" t="s">
        <v>11</v>
      </c>
    </row>
    <row r="17" spans="1:7">
      <c r="A17" t="s">
        <v>12</v>
      </c>
      <c r="B17">
        <v>104696</v>
      </c>
    </row>
    <row r="18" spans="1:7">
      <c r="A18" t="s">
        <v>13</v>
      </c>
      <c r="B18">
        <v>511286</v>
      </c>
    </row>
    <row r="19" spans="1:7">
      <c r="A19" t="s">
        <v>14</v>
      </c>
      <c r="B19">
        <v>156137</v>
      </c>
    </row>
    <row r="31" spans="1:7">
      <c r="A31" s="1" t="s">
        <v>15</v>
      </c>
      <c r="B31" s="1" t="s">
        <v>16</v>
      </c>
      <c r="C31" s="1" t="s">
        <v>17</v>
      </c>
      <c r="D31" s="1" t="s">
        <v>4</v>
      </c>
      <c r="E31" s="1" t="s">
        <v>5</v>
      </c>
      <c r="F31" s="1" t="s">
        <v>18</v>
      </c>
      <c r="G31" s="1" t="s">
        <v>19</v>
      </c>
    </row>
    <row r="32" spans="1:7">
      <c r="A32" s="3" t="str">
        <f>'02_品牌优先级'!A3</f>
        <v>grattol</v>
      </c>
      <c r="B32" s="13">
        <f>'02_品牌优先级'!B3</f>
        <v>33335</v>
      </c>
      <c r="C32" s="14">
        <f>'02_品牌优先级'!I3/100</f>
        <v>0.121794</v>
      </c>
      <c r="D32" s="14">
        <f>'02_品牌优先级'!J3/100</f>
        <v>0.68279600000000007</v>
      </c>
      <c r="E32" s="14">
        <f>'02_品牌优先级'!K3/100</f>
        <v>0.19541</v>
      </c>
      <c r="F32" s="4">
        <f>'02_品牌优先级'!M3</f>
        <v>1.6044</v>
      </c>
      <c r="G32" s="3" t="str">
        <f>'02_品牌优先级'!Q3</f>
        <v>拆分至SKU并核查库存/费用/配送/结账</v>
      </c>
    </row>
    <row r="33" spans="1:7">
      <c r="A33" s="3" t="str">
        <f>'02_品牌优先级'!A4</f>
        <v>masura</v>
      </c>
      <c r="B33" s="13">
        <f>'02_品牌优先级'!B4</f>
        <v>30929</v>
      </c>
      <c r="C33" s="14">
        <f>'02_品牌优先级'!I4/100</f>
        <v>0.104627</v>
      </c>
      <c r="D33" s="14">
        <f>'02_品牌优先级'!J4/100</f>
        <v>0.65375499999999998</v>
      </c>
      <c r="E33" s="14">
        <f>'02_品牌优先级'!K4/100</f>
        <v>0.241618</v>
      </c>
      <c r="F33" s="4">
        <f>'02_品牌优先级'!M4</f>
        <v>2.3092999999999999</v>
      </c>
      <c r="G33" s="3" t="str">
        <f>'02_品牌优先级'!Q4</f>
        <v>拆分至SKU并核查库存/费用/配送/结账</v>
      </c>
    </row>
    <row r="34" spans="1:7">
      <c r="A34" s="3" t="str">
        <f>'02_品牌优先级'!A5</f>
        <v>ingarden</v>
      </c>
      <c r="B34" s="13">
        <f>'02_品牌优先级'!B5</f>
        <v>15682</v>
      </c>
      <c r="C34" s="14">
        <f>'02_品牌优先级'!I5/100</f>
        <v>0.12313499999999999</v>
      </c>
      <c r="D34" s="14">
        <f>'02_品牌优先级'!J5/100</f>
        <v>0.68065299999999995</v>
      </c>
      <c r="E34" s="14">
        <f>'02_品牌优先级'!K5/100</f>
        <v>0.19621200000000003</v>
      </c>
      <c r="F34" s="4">
        <f>'02_品牌优先级'!M5</f>
        <v>1.5934999999999999</v>
      </c>
      <c r="G34" s="3" t="str">
        <f>'02_品牌优先级'!Q5</f>
        <v>拆分至SKU并核查库存/费用/配送/结账</v>
      </c>
    </row>
    <row r="35" spans="1:7">
      <c r="A35" s="3" t="str">
        <f>'02_品牌优先级'!A6</f>
        <v>pole</v>
      </c>
      <c r="B35" s="13">
        <f>'02_品牌优先级'!B6</f>
        <v>12249</v>
      </c>
      <c r="C35" s="14">
        <f>'02_品牌优先级'!I6/100</f>
        <v>0.127112</v>
      </c>
      <c r="D35" s="14">
        <f>'02_品牌优先级'!J6/100</f>
        <v>0.62837799999999999</v>
      </c>
      <c r="E35" s="14">
        <f>'02_品牌优先级'!K6/100</f>
        <v>0.24451000000000001</v>
      </c>
      <c r="F35" s="4">
        <f>'02_品牌优先级'!M6</f>
        <v>1.9236</v>
      </c>
      <c r="G35" s="3" t="str">
        <f>'02_品牌优先级'!Q6</f>
        <v>拆分至SKU并核查库存/费用/配送/结账</v>
      </c>
    </row>
    <row r="36" spans="1:7">
      <c r="A36" s="3" t="str">
        <f>'02_品牌优先级'!A7</f>
        <v>bluesky</v>
      </c>
      <c r="B36" s="13">
        <f>'02_品牌优先级'!B7</f>
        <v>9634</v>
      </c>
      <c r="C36" s="14">
        <f>'02_品牌优先级'!I7/100</f>
        <v>0.106083</v>
      </c>
      <c r="D36" s="14">
        <f>'02_品牌优先级'!J7/100</f>
        <v>0.64355400000000007</v>
      </c>
      <c r="E36" s="14">
        <f>'02_品牌优先级'!K7/100</f>
        <v>0.250363</v>
      </c>
      <c r="F36" s="4">
        <f>'02_品牌优先级'!M7</f>
        <v>2.3601000000000001</v>
      </c>
      <c r="G36" s="3" t="str">
        <f>'02_品牌优先级'!Q7</f>
        <v>拆分至SKU并核查库存/费用/配送/结账</v>
      </c>
    </row>
    <row r="37" spans="1:7">
      <c r="A37" s="3" t="str">
        <f>'02_品牌优先级'!A8</f>
        <v>haruyama</v>
      </c>
      <c r="B37" s="13">
        <f>'02_品牌优先级'!B8</f>
        <v>7327</v>
      </c>
      <c r="C37" s="14">
        <f>'02_品牌优先级'!I8/100</f>
        <v>0.110959</v>
      </c>
      <c r="D37" s="14">
        <f>'02_品牌优先级'!J8/100</f>
        <v>0.65333699999999995</v>
      </c>
      <c r="E37" s="14">
        <f>'02_品牌优先级'!K8/100</f>
        <v>0.235704</v>
      </c>
      <c r="F37" s="4">
        <f>'02_品牌优先级'!M8</f>
        <v>2.1242000000000001</v>
      </c>
      <c r="G37" s="3" t="str">
        <f>'02_品牌优先级'!Q8</f>
        <v>拆分至SKU并核查库存/费用/配送/结账</v>
      </c>
    </row>
    <row r="38" spans="1:7">
      <c r="A38" s="3" t="str">
        <f>'02_品牌优先级'!A9</f>
        <v>cosmoprofi</v>
      </c>
      <c r="B38" s="13">
        <f>'02_品牌优先级'!B9</f>
        <v>4403</v>
      </c>
      <c r="C38" s="14">
        <f>'02_品牌优先级'!I9/100</f>
        <v>8.9712E-2</v>
      </c>
      <c r="D38" s="14">
        <f>'02_品牌优先级'!J9/100</f>
        <v>0.67817400000000005</v>
      </c>
      <c r="E38" s="14">
        <f>'02_品牌优先级'!K9/100</f>
        <v>0.23211400000000001</v>
      </c>
      <c r="F38" s="4">
        <f>'02_品牌优先级'!M9</f>
        <v>2.5872999999999999</v>
      </c>
      <c r="G38" s="3" t="str">
        <f>'02_品牌优先级'!Q9</f>
        <v>拆分至SKU并核查库存/费用/配送/结账</v>
      </c>
    </row>
    <row r="39" spans="1:7">
      <c r="A39" s="3" t="str">
        <f>'02_品牌优先级'!A10</f>
        <v>lovely</v>
      </c>
      <c r="B39" s="13">
        <f>'02_品牌优先级'!B10</f>
        <v>4316</v>
      </c>
      <c r="C39" s="14">
        <f>'02_品牌优先级'!I10/100</f>
        <v>0.12789600000000001</v>
      </c>
      <c r="D39" s="14">
        <f>'02_品牌优先级'!J10/100</f>
        <v>0.67771100000000006</v>
      </c>
      <c r="E39" s="14">
        <f>'02_品牌优先级'!K10/100</f>
        <v>0.19439299999999998</v>
      </c>
      <c r="F39" s="4">
        <f>'02_品牌优先级'!M10</f>
        <v>1.5199</v>
      </c>
      <c r="G39" s="3" t="str">
        <f>'02_品牌优先级'!Q10</f>
        <v>拆分至SKU并核查库存/费用/配送/结账</v>
      </c>
    </row>
    <row r="40" spans="1:7">
      <c r="A40" s="3" t="str">
        <f>'02_品牌优先级'!A11</f>
        <v>lianail</v>
      </c>
      <c r="B40" s="13">
        <f>'02_品牌优先级'!B11</f>
        <v>4168</v>
      </c>
      <c r="C40" s="14">
        <f>'02_品牌优先级'!I11/100</f>
        <v>0.11468299999999999</v>
      </c>
      <c r="D40" s="14">
        <f>'02_品牌优先级'!J11/100</f>
        <v>0.69169899999999995</v>
      </c>
      <c r="E40" s="14">
        <f>'02_品牌优先级'!K11/100</f>
        <v>0.19361799999999998</v>
      </c>
      <c r="F40" s="4">
        <f>'02_品牌优先级'!M11</f>
        <v>1.6882999999999999</v>
      </c>
      <c r="G40" s="3" t="str">
        <f>'02_品牌优先级'!Q11</f>
        <v>拆分至SKU并核查库存/费用/配送/结账</v>
      </c>
    </row>
    <row r="41" spans="1:7">
      <c r="A41" s="3" t="str">
        <f>'02_品牌优先级'!A12</f>
        <v>f.o.x</v>
      </c>
      <c r="B41" s="13">
        <f>'02_品牌优先级'!B12</f>
        <v>4129</v>
      </c>
      <c r="C41" s="14">
        <f>'02_品牌优先级'!I12/100</f>
        <v>0.104868</v>
      </c>
      <c r="D41" s="14">
        <f>'02_品牌优先级'!J12/100</f>
        <v>0.65148899999999998</v>
      </c>
      <c r="E41" s="14">
        <f>'02_品牌优先级'!K12/100</f>
        <v>0.243643</v>
      </c>
      <c r="F41" s="4">
        <f>'02_品牌优先级'!M12</f>
        <v>2.3233000000000001</v>
      </c>
      <c r="G41" s="3" t="str">
        <f>'02_品牌优先级'!Q12</f>
        <v>拆分至SKU并核查库存/费用/配送/结账</v>
      </c>
    </row>
  </sheetData>
  <mergeCells count="18">
    <mergeCell ref="J10:L10"/>
    <mergeCell ref="J11:L13"/>
    <mergeCell ref="A10:C10"/>
    <mergeCell ref="A11:C13"/>
    <mergeCell ref="D10:F10"/>
    <mergeCell ref="D11:F13"/>
    <mergeCell ref="G10:I10"/>
    <mergeCell ref="G11:I13"/>
    <mergeCell ref="A1:L2"/>
    <mergeCell ref="A3:L3"/>
    <mergeCell ref="A5:C5"/>
    <mergeCell ref="A6:C8"/>
    <mergeCell ref="D5:F5"/>
    <mergeCell ref="D6:F8"/>
    <mergeCell ref="G5:I5"/>
    <mergeCell ref="G6:I8"/>
    <mergeCell ref="J5:L5"/>
    <mergeCell ref="J6:L8"/>
  </mergeCells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9"/>
  <sheetViews>
    <sheetView showGridLines="0" tabSelected="1" topLeftCell="M1" workbookViewId="0">
      <selection activeCell="P34" sqref="P34"/>
    </sheetView>
  </sheetViews>
  <sheetFormatPr defaultRowHeight="14.15"/>
  <cols>
    <col min="1" max="1" width="17" customWidth="1"/>
    <col min="2" max="8" width="14" customWidth="1"/>
    <col min="9" max="13" width="17" customWidth="1"/>
    <col min="14" max="16" width="16" customWidth="1"/>
    <col min="17" max="17" width="36" customWidth="1"/>
  </cols>
  <sheetData>
    <row r="1" spans="1:17" ht="22.75">
      <c r="A1" s="15" t="s">
        <v>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>
      <c r="A2" s="7" t="s">
        <v>15</v>
      </c>
      <c r="B2" s="7" t="s">
        <v>21</v>
      </c>
      <c r="C2" s="7" t="s">
        <v>12</v>
      </c>
      <c r="D2" s="7" t="s">
        <v>13</v>
      </c>
      <c r="E2" s="7" t="s">
        <v>14</v>
      </c>
      <c r="F2" s="7" t="s">
        <v>22</v>
      </c>
      <c r="G2" s="7" t="s">
        <v>23</v>
      </c>
      <c r="H2" s="7" t="s">
        <v>24</v>
      </c>
      <c r="I2" s="7" t="s">
        <v>17</v>
      </c>
      <c r="J2" s="7" t="s">
        <v>4</v>
      </c>
      <c r="K2" s="7" t="s">
        <v>5</v>
      </c>
      <c r="L2" s="7" t="s">
        <v>6</v>
      </c>
      <c r="M2" s="7" t="s">
        <v>18</v>
      </c>
      <c r="N2" s="7" t="s">
        <v>25</v>
      </c>
      <c r="O2" s="7" t="s">
        <v>26</v>
      </c>
      <c r="P2" s="7" t="s">
        <v>27</v>
      </c>
      <c r="Q2" s="7" t="s">
        <v>28</v>
      </c>
    </row>
    <row r="3" spans="1:17">
      <c r="A3" s="8" t="s">
        <v>29</v>
      </c>
      <c r="B3" s="9">
        <v>33335</v>
      </c>
      <c r="C3" s="9">
        <v>4060</v>
      </c>
      <c r="D3" s="9">
        <v>22761</v>
      </c>
      <c r="E3" s="9">
        <v>6514</v>
      </c>
      <c r="F3" s="9">
        <v>10574</v>
      </c>
      <c r="G3" s="9">
        <v>11025</v>
      </c>
      <c r="H3" s="9">
        <v>305</v>
      </c>
      <c r="I3" s="10">
        <v>12.179399999999999</v>
      </c>
      <c r="J3" s="10">
        <v>68.279600000000002</v>
      </c>
      <c r="K3" s="10">
        <v>19.541</v>
      </c>
      <c r="L3" s="10">
        <v>38.396099999999997</v>
      </c>
      <c r="M3" s="11">
        <v>1.6044</v>
      </c>
      <c r="N3" s="8" t="str">
        <f>IF(B3&gt;='00_口径与参数'!$B$5,"高覆盖量","低覆盖量")</f>
        <v>高覆盖量</v>
      </c>
      <c r="O3" s="8" t="str">
        <f>IF(M3&gt;='00_口径与参数'!$B$6,"高比值","低比值")</f>
        <v>高比值</v>
      </c>
      <c r="P3" s="8" t="str">
        <f t="shared" ref="P3:P34" si="0">IF(AND(N3="高覆盖量",O3="高比值"),"优先核查",IF(N3="高覆盖量","规模优势/维护",IF(O3="高比值","监控并补样本","常规观察")))</f>
        <v>优先核查</v>
      </c>
      <c r="Q3" s="8" t="str">
        <f t="shared" ref="Q3:Q34" si="1">IF(P3="优先核查","拆分至SKU并核查库存/费用/配送/结账",IF(P3="监控并补样本","补样本后再判断",IF(P3="规模优势/维护","维持并监控异常","常规观察")))</f>
        <v>拆分至SKU并核查库存/费用/配送/结账</v>
      </c>
    </row>
    <row r="4" spans="1:17">
      <c r="A4" s="8" t="s">
        <v>30</v>
      </c>
      <c r="B4" s="9">
        <v>30929</v>
      </c>
      <c r="C4" s="9">
        <v>3236</v>
      </c>
      <c r="D4" s="9">
        <v>20220</v>
      </c>
      <c r="E4" s="9">
        <v>7473</v>
      </c>
      <c r="F4" s="9">
        <v>10709</v>
      </c>
      <c r="G4" s="9">
        <v>7036</v>
      </c>
      <c r="H4" s="9">
        <v>1174</v>
      </c>
      <c r="I4" s="10">
        <v>10.4627</v>
      </c>
      <c r="J4" s="10">
        <v>65.375500000000002</v>
      </c>
      <c r="K4" s="10">
        <v>24.161799999999999</v>
      </c>
      <c r="L4" s="10">
        <v>30.217600000000001</v>
      </c>
      <c r="M4" s="11">
        <v>2.3092999999999999</v>
      </c>
      <c r="N4" s="8" t="str">
        <f>IF(B4&gt;='00_口径与参数'!$B$5,"高覆盖量","低覆盖量")</f>
        <v>高覆盖量</v>
      </c>
      <c r="O4" s="8" t="str">
        <f>IF(M4&gt;='00_口径与参数'!$B$6,"高比值","低比值")</f>
        <v>高比值</v>
      </c>
      <c r="P4" s="8" t="str">
        <f>IF(AND(N4="高覆盖量",O4="高比值"),"优先核查",IF(N4="高覆盖量","规模优势/维护",IF(O4="高比值","监控并补样本","常规观察")))</f>
        <v>优先核查</v>
      </c>
      <c r="Q4" s="8" t="str">
        <f t="shared" si="1"/>
        <v>拆分至SKU并核查库存/费用/配送/结账</v>
      </c>
    </row>
    <row r="5" spans="1:17">
      <c r="A5" s="8" t="s">
        <v>31</v>
      </c>
      <c r="B5" s="9">
        <v>15682</v>
      </c>
      <c r="C5" s="9">
        <v>1931</v>
      </c>
      <c r="D5" s="9">
        <v>10674</v>
      </c>
      <c r="E5" s="9">
        <v>3077</v>
      </c>
      <c r="F5" s="9">
        <v>5008</v>
      </c>
      <c r="G5" s="9">
        <v>6685</v>
      </c>
      <c r="H5" s="9">
        <v>479</v>
      </c>
      <c r="I5" s="10">
        <v>12.313499999999999</v>
      </c>
      <c r="J5" s="10">
        <v>68.065299999999993</v>
      </c>
      <c r="K5" s="10">
        <v>19.621200000000002</v>
      </c>
      <c r="L5" s="10">
        <v>38.558300000000003</v>
      </c>
      <c r="M5" s="11">
        <v>1.5934999999999999</v>
      </c>
      <c r="N5" s="8" t="str">
        <f>IF(B5&gt;='00_口径与参数'!$B$5,"高覆盖量","低覆盖量")</f>
        <v>高覆盖量</v>
      </c>
      <c r="O5" s="8" t="str">
        <f>IF(M5&gt;='00_口径与参数'!$B$6,"高比值","低比值")</f>
        <v>高比值</v>
      </c>
      <c r="P5" s="8" t="str">
        <f t="shared" si="0"/>
        <v>优先核查</v>
      </c>
      <c r="Q5" s="8" t="str">
        <f t="shared" si="1"/>
        <v>拆分至SKU并核查库存/费用/配送/结账</v>
      </c>
    </row>
    <row r="6" spans="1:17">
      <c r="A6" s="8" t="s">
        <v>32</v>
      </c>
      <c r="B6" s="9">
        <v>12249</v>
      </c>
      <c r="C6" s="9">
        <v>1557</v>
      </c>
      <c r="D6" s="9">
        <v>7697</v>
      </c>
      <c r="E6" s="9">
        <v>2995</v>
      </c>
      <c r="F6" s="9">
        <v>4552</v>
      </c>
      <c r="G6" s="9">
        <v>2918</v>
      </c>
      <c r="H6" s="9">
        <v>547</v>
      </c>
      <c r="I6" s="10">
        <v>12.7112</v>
      </c>
      <c r="J6" s="10">
        <v>62.837800000000001</v>
      </c>
      <c r="K6" s="10">
        <v>24.451000000000001</v>
      </c>
      <c r="L6" s="10">
        <v>34.204700000000003</v>
      </c>
      <c r="M6" s="11">
        <v>1.9236</v>
      </c>
      <c r="N6" s="8" t="str">
        <f>IF(B6&gt;='00_口径与参数'!$B$5,"高覆盖量","低覆盖量")</f>
        <v>高覆盖量</v>
      </c>
      <c r="O6" s="8" t="str">
        <f>IF(M6&gt;='00_口径与参数'!$B$6,"高比值","低比值")</f>
        <v>高比值</v>
      </c>
      <c r="P6" s="8" t="str">
        <f t="shared" si="0"/>
        <v>优先核查</v>
      </c>
      <c r="Q6" s="8" t="str">
        <f t="shared" si="1"/>
        <v>拆分至SKU并核查库存/费用/配送/结账</v>
      </c>
    </row>
    <row r="7" spans="1:17">
      <c r="A7" s="8" t="s">
        <v>33</v>
      </c>
      <c r="B7" s="9">
        <v>9634</v>
      </c>
      <c r="C7" s="9">
        <v>1022</v>
      </c>
      <c r="D7" s="9">
        <v>6200</v>
      </c>
      <c r="E7" s="9">
        <v>2412</v>
      </c>
      <c r="F7" s="9">
        <v>3434</v>
      </c>
      <c r="G7" s="9">
        <v>3192</v>
      </c>
      <c r="H7" s="9">
        <v>560</v>
      </c>
      <c r="I7" s="10">
        <v>10.6083</v>
      </c>
      <c r="J7" s="10">
        <v>64.355400000000003</v>
      </c>
      <c r="K7" s="10">
        <v>25.036300000000001</v>
      </c>
      <c r="L7" s="10">
        <v>29.761199999999999</v>
      </c>
      <c r="M7" s="11">
        <v>2.3601000000000001</v>
      </c>
      <c r="N7" s="8" t="str">
        <f>IF(B7&gt;='00_口径与参数'!$B$5,"高覆盖量","低覆盖量")</f>
        <v>高覆盖量</v>
      </c>
      <c r="O7" s="8" t="str">
        <f>IF(M7&gt;='00_口径与参数'!$B$6,"高比值","低比值")</f>
        <v>高比值</v>
      </c>
      <c r="P7" s="8" t="str">
        <f t="shared" si="0"/>
        <v>优先核查</v>
      </c>
      <c r="Q7" s="8" t="str">
        <f t="shared" si="1"/>
        <v>拆分至SKU并核查库存/费用/配送/结账</v>
      </c>
    </row>
    <row r="8" spans="1:17">
      <c r="A8" s="8" t="s">
        <v>34</v>
      </c>
      <c r="B8" s="9">
        <v>7327</v>
      </c>
      <c r="C8" s="9">
        <v>813</v>
      </c>
      <c r="D8" s="9">
        <v>4787</v>
      </c>
      <c r="E8" s="9">
        <v>1727</v>
      </c>
      <c r="F8" s="9">
        <v>2540</v>
      </c>
      <c r="G8" s="9">
        <v>1916</v>
      </c>
      <c r="H8" s="9">
        <v>377</v>
      </c>
      <c r="I8" s="10">
        <v>11.0959</v>
      </c>
      <c r="J8" s="10">
        <v>65.333699999999993</v>
      </c>
      <c r="K8" s="10">
        <v>23.570399999999999</v>
      </c>
      <c r="L8" s="10">
        <v>32.007899999999999</v>
      </c>
      <c r="M8" s="11">
        <v>2.1242000000000001</v>
      </c>
      <c r="N8" s="8" t="str">
        <f>IF(B8&gt;='00_口径与参数'!$B$5,"高覆盖量","低覆盖量")</f>
        <v>高覆盖量</v>
      </c>
      <c r="O8" s="8" t="str">
        <f>IF(M8&gt;='00_口径与参数'!$B$6,"高比值","低比值")</f>
        <v>高比值</v>
      </c>
      <c r="P8" s="8" t="str">
        <f t="shared" si="0"/>
        <v>优先核查</v>
      </c>
      <c r="Q8" s="8" t="str">
        <f t="shared" si="1"/>
        <v>拆分至SKU并核查库存/费用/配送/结账</v>
      </c>
    </row>
    <row r="9" spans="1:17">
      <c r="A9" s="8" t="s">
        <v>35</v>
      </c>
      <c r="B9" s="9">
        <v>4403</v>
      </c>
      <c r="C9" s="9">
        <v>395</v>
      </c>
      <c r="D9" s="9">
        <v>2986</v>
      </c>
      <c r="E9" s="9">
        <v>1022</v>
      </c>
      <c r="F9" s="9">
        <v>1417</v>
      </c>
      <c r="G9" s="9">
        <v>1925</v>
      </c>
      <c r="H9" s="9">
        <v>270</v>
      </c>
      <c r="I9" s="10">
        <v>8.9711999999999996</v>
      </c>
      <c r="J9" s="10">
        <v>67.817400000000006</v>
      </c>
      <c r="K9" s="10">
        <v>23.211400000000001</v>
      </c>
      <c r="L9" s="10">
        <v>27.875800000000002</v>
      </c>
      <c r="M9" s="11">
        <v>2.5872999999999999</v>
      </c>
      <c r="N9" s="8" t="str">
        <f>IF(B9&gt;='00_口径与参数'!$B$5,"高覆盖量","低覆盖量")</f>
        <v>高覆盖量</v>
      </c>
      <c r="O9" s="8" t="str">
        <f>IF(M9&gt;='00_口径与参数'!$B$6,"高比值","低比值")</f>
        <v>高比值</v>
      </c>
      <c r="P9" s="8" t="str">
        <f t="shared" si="0"/>
        <v>优先核查</v>
      </c>
      <c r="Q9" s="8" t="str">
        <f t="shared" si="1"/>
        <v>拆分至SKU并核查库存/费用/配送/结账</v>
      </c>
    </row>
    <row r="10" spans="1:17">
      <c r="A10" s="8" t="s">
        <v>36</v>
      </c>
      <c r="B10" s="9">
        <v>4316</v>
      </c>
      <c r="C10" s="9">
        <v>552</v>
      </c>
      <c r="D10" s="9">
        <v>2925</v>
      </c>
      <c r="E10" s="9">
        <v>839</v>
      </c>
      <c r="F10" s="9">
        <v>1391</v>
      </c>
      <c r="G10" s="9">
        <v>2003</v>
      </c>
      <c r="H10" s="9">
        <v>323</v>
      </c>
      <c r="I10" s="10">
        <v>12.7896</v>
      </c>
      <c r="J10" s="10">
        <v>67.771100000000004</v>
      </c>
      <c r="K10" s="10">
        <v>19.439299999999999</v>
      </c>
      <c r="L10" s="10">
        <v>39.683700000000002</v>
      </c>
      <c r="M10" s="11">
        <v>1.5199</v>
      </c>
      <c r="N10" s="8" t="str">
        <f>IF(B10&gt;='00_口径与参数'!$B$5,"高覆盖量","低覆盖量")</f>
        <v>高覆盖量</v>
      </c>
      <c r="O10" s="8" t="str">
        <f>IF(M10&gt;='00_口径与参数'!$B$6,"高比值","低比值")</f>
        <v>高比值</v>
      </c>
      <c r="P10" s="8" t="str">
        <f t="shared" si="0"/>
        <v>优先核查</v>
      </c>
      <c r="Q10" s="8" t="str">
        <f t="shared" si="1"/>
        <v>拆分至SKU并核查库存/费用/配送/结账</v>
      </c>
    </row>
    <row r="11" spans="1:17">
      <c r="A11" s="8" t="s">
        <v>37</v>
      </c>
      <c r="B11" s="9">
        <v>4168</v>
      </c>
      <c r="C11" s="9">
        <v>478</v>
      </c>
      <c r="D11" s="9">
        <v>2883</v>
      </c>
      <c r="E11" s="9">
        <v>807</v>
      </c>
      <c r="F11" s="9">
        <v>1285</v>
      </c>
      <c r="G11" s="9">
        <v>1873</v>
      </c>
      <c r="H11" s="9">
        <v>388</v>
      </c>
      <c r="I11" s="10">
        <v>11.468299999999999</v>
      </c>
      <c r="J11" s="10">
        <v>69.169899999999998</v>
      </c>
      <c r="K11" s="10">
        <v>19.361799999999999</v>
      </c>
      <c r="L11" s="10">
        <v>37.198399999999999</v>
      </c>
      <c r="M11" s="11">
        <v>1.6882999999999999</v>
      </c>
      <c r="N11" s="8" t="str">
        <f>IF(B11&gt;='00_口径与参数'!$B$5,"高覆盖量","低覆盖量")</f>
        <v>高覆盖量</v>
      </c>
      <c r="O11" s="8" t="str">
        <f>IF(M11&gt;='00_口径与参数'!$B$6,"高比值","低比值")</f>
        <v>高比值</v>
      </c>
      <c r="P11" s="8" t="str">
        <f t="shared" si="0"/>
        <v>优先核查</v>
      </c>
      <c r="Q11" s="8" t="str">
        <f t="shared" si="1"/>
        <v>拆分至SKU并核查库存/费用/配送/结账</v>
      </c>
    </row>
    <row r="12" spans="1:17">
      <c r="A12" s="8" t="s">
        <v>38</v>
      </c>
      <c r="B12" s="9">
        <v>4129</v>
      </c>
      <c r="C12" s="9">
        <v>433</v>
      </c>
      <c r="D12" s="9">
        <v>2690</v>
      </c>
      <c r="E12" s="9">
        <v>1006</v>
      </c>
      <c r="F12" s="9">
        <v>1439</v>
      </c>
      <c r="G12" s="9">
        <v>1554</v>
      </c>
      <c r="H12" s="9">
        <v>420</v>
      </c>
      <c r="I12" s="10">
        <v>10.486800000000001</v>
      </c>
      <c r="J12" s="10">
        <v>65.148899999999998</v>
      </c>
      <c r="K12" s="10">
        <v>24.3643</v>
      </c>
      <c r="L12" s="10">
        <v>30.090299999999999</v>
      </c>
      <c r="M12" s="11">
        <v>2.3233000000000001</v>
      </c>
      <c r="N12" s="8" t="str">
        <f>IF(B12&gt;='00_口径与参数'!$B$5,"高覆盖量","低覆盖量")</f>
        <v>高覆盖量</v>
      </c>
      <c r="O12" s="8" t="str">
        <f>IF(M12&gt;='00_口径与参数'!$B$6,"高比值","低比值")</f>
        <v>高比值</v>
      </c>
      <c r="P12" s="8" t="str">
        <f t="shared" si="0"/>
        <v>优先核查</v>
      </c>
      <c r="Q12" s="8" t="str">
        <f t="shared" si="1"/>
        <v>拆分至SKU并核查库存/费用/配送/结账</v>
      </c>
    </row>
    <row r="13" spans="1:17">
      <c r="A13" s="8" t="s">
        <v>39</v>
      </c>
      <c r="B13" s="9">
        <v>4078</v>
      </c>
      <c r="C13" s="9">
        <v>411</v>
      </c>
      <c r="D13" s="9">
        <v>2772</v>
      </c>
      <c r="E13" s="9">
        <v>895</v>
      </c>
      <c r="F13" s="9">
        <v>1306</v>
      </c>
      <c r="G13" s="9">
        <v>1277</v>
      </c>
      <c r="H13" s="9">
        <v>71</v>
      </c>
      <c r="I13" s="10">
        <v>10.0785</v>
      </c>
      <c r="J13" s="10">
        <v>67.974500000000006</v>
      </c>
      <c r="K13" s="10">
        <v>21.946999999999999</v>
      </c>
      <c r="L13" s="10">
        <v>31.470099999999999</v>
      </c>
      <c r="M13" s="11">
        <v>2.1776</v>
      </c>
      <c r="N13" s="8" t="str">
        <f>IF(B13&gt;='00_口径与参数'!$B$5,"高覆盖量","低覆盖量")</f>
        <v>高覆盖量</v>
      </c>
      <c r="O13" s="8" t="str">
        <f>IF(M13&gt;='00_口径与参数'!$B$6,"高比值","低比值")</f>
        <v>高比值</v>
      </c>
      <c r="P13" s="8" t="str">
        <f t="shared" si="0"/>
        <v>优先核查</v>
      </c>
      <c r="Q13" s="8" t="str">
        <f t="shared" si="1"/>
        <v>拆分至SKU并核查库存/费用/配送/结账</v>
      </c>
    </row>
    <row r="14" spans="1:17">
      <c r="A14" s="8" t="s">
        <v>40</v>
      </c>
      <c r="B14" s="9">
        <v>3566</v>
      </c>
      <c r="C14" s="9">
        <v>309</v>
      </c>
      <c r="D14" s="9">
        <v>2509</v>
      </c>
      <c r="E14" s="9">
        <v>748</v>
      </c>
      <c r="F14" s="9">
        <v>1057</v>
      </c>
      <c r="G14" s="9">
        <v>1171</v>
      </c>
      <c r="H14" s="9">
        <v>510</v>
      </c>
      <c r="I14" s="10">
        <v>8.6652000000000005</v>
      </c>
      <c r="J14" s="10">
        <v>70.358900000000006</v>
      </c>
      <c r="K14" s="10">
        <v>20.975899999999999</v>
      </c>
      <c r="L14" s="10">
        <v>29.233699999999999</v>
      </c>
      <c r="M14" s="11">
        <v>2.4207000000000001</v>
      </c>
      <c r="N14" s="8" t="str">
        <f>IF(B14&gt;='00_口径与参数'!$B$5,"高覆盖量","低覆盖量")</f>
        <v>高覆盖量</v>
      </c>
      <c r="O14" s="8" t="str">
        <f>IF(M14&gt;='00_口径与参数'!$B$6,"高比值","低比值")</f>
        <v>高比值</v>
      </c>
      <c r="P14" s="8" t="str">
        <f t="shared" si="0"/>
        <v>优先核查</v>
      </c>
      <c r="Q14" s="8" t="str">
        <f t="shared" si="1"/>
        <v>拆分至SKU并核查库存/费用/配送/结账</v>
      </c>
    </row>
    <row r="15" spans="1:17">
      <c r="A15" s="8" t="s">
        <v>41</v>
      </c>
      <c r="B15" s="9">
        <v>3441</v>
      </c>
      <c r="C15" s="9">
        <v>296</v>
      </c>
      <c r="D15" s="9">
        <v>2325</v>
      </c>
      <c r="E15" s="9">
        <v>820</v>
      </c>
      <c r="F15" s="9">
        <v>1116</v>
      </c>
      <c r="G15" s="9">
        <v>1040</v>
      </c>
      <c r="H15" s="9">
        <v>531</v>
      </c>
      <c r="I15" s="10">
        <v>8.6021999999999998</v>
      </c>
      <c r="J15" s="10">
        <v>67.567599999999999</v>
      </c>
      <c r="K15" s="10">
        <v>23.830300000000001</v>
      </c>
      <c r="L15" s="10">
        <v>26.523299999999999</v>
      </c>
      <c r="M15" s="11">
        <v>2.7703000000000002</v>
      </c>
      <c r="N15" s="8" t="str">
        <f>IF(B15&gt;='00_口径与参数'!$B$5,"高覆盖量","低覆盖量")</f>
        <v>高覆盖量</v>
      </c>
      <c r="O15" s="8" t="str">
        <f>IF(M15&gt;='00_口径与参数'!$B$6,"高比值","低比值")</f>
        <v>高比值</v>
      </c>
      <c r="P15" s="8" t="str">
        <f t="shared" si="0"/>
        <v>优先核查</v>
      </c>
      <c r="Q15" s="8" t="str">
        <f t="shared" si="1"/>
        <v>拆分至SKU并核查库存/费用/配送/结账</v>
      </c>
    </row>
    <row r="16" spans="1:17">
      <c r="A16" s="8" t="s">
        <v>42</v>
      </c>
      <c r="B16" s="9">
        <v>3162</v>
      </c>
      <c r="C16" s="9">
        <v>391</v>
      </c>
      <c r="D16" s="9">
        <v>1906</v>
      </c>
      <c r="E16" s="9">
        <v>865</v>
      </c>
      <c r="F16" s="9">
        <v>1256</v>
      </c>
      <c r="G16" s="9">
        <v>999</v>
      </c>
      <c r="H16" s="9">
        <v>272</v>
      </c>
      <c r="I16" s="10">
        <v>12.365600000000001</v>
      </c>
      <c r="J16" s="10">
        <v>60.278300000000002</v>
      </c>
      <c r="K16" s="10">
        <v>27.356100000000001</v>
      </c>
      <c r="L16" s="10">
        <v>31.130600000000001</v>
      </c>
      <c r="M16" s="11">
        <v>2.2122999999999999</v>
      </c>
      <c r="N16" s="8" t="str">
        <f>IF(B16&gt;='00_口径与参数'!$B$5,"高覆盖量","低覆盖量")</f>
        <v>高覆盖量</v>
      </c>
      <c r="O16" s="8" t="str">
        <f>IF(M16&gt;='00_口径与参数'!$B$6,"高比值","低比值")</f>
        <v>高比值</v>
      </c>
      <c r="P16" s="8" t="str">
        <f t="shared" si="0"/>
        <v>优先核查</v>
      </c>
      <c r="Q16" s="8" t="str">
        <f t="shared" si="1"/>
        <v>拆分至SKU并核查库存/费用/配送/结账</v>
      </c>
    </row>
    <row r="17" spans="1:17">
      <c r="A17" s="8" t="s">
        <v>43</v>
      </c>
      <c r="B17" s="9">
        <v>2783</v>
      </c>
      <c r="C17" s="9">
        <v>323</v>
      </c>
      <c r="D17" s="9">
        <v>1800</v>
      </c>
      <c r="E17" s="9">
        <v>660</v>
      </c>
      <c r="F17" s="9">
        <v>983</v>
      </c>
      <c r="G17" s="9">
        <v>1305</v>
      </c>
      <c r="H17" s="9">
        <v>302</v>
      </c>
      <c r="I17" s="10">
        <v>11.606199999999999</v>
      </c>
      <c r="J17" s="10">
        <v>64.678399999999996</v>
      </c>
      <c r="K17" s="10">
        <v>23.715399999999999</v>
      </c>
      <c r="L17" s="10">
        <v>32.858600000000003</v>
      </c>
      <c r="M17" s="11">
        <v>2.0432999999999999</v>
      </c>
      <c r="N17" s="8" t="str">
        <f>IF(B17&gt;='00_口径与参数'!$B$5,"高覆盖量","低覆盖量")</f>
        <v>高覆盖量</v>
      </c>
      <c r="O17" s="8" t="str">
        <f>IF(M17&gt;='00_口径与参数'!$B$6,"高比值","低比值")</f>
        <v>高比值</v>
      </c>
      <c r="P17" s="8" t="str">
        <f t="shared" si="0"/>
        <v>优先核查</v>
      </c>
      <c r="Q17" s="8" t="str">
        <f t="shared" si="1"/>
        <v>拆分至SKU并核查库存/费用/配送/结账</v>
      </c>
    </row>
    <row r="18" spans="1:17">
      <c r="A18" s="8" t="s">
        <v>44</v>
      </c>
      <c r="B18" s="9">
        <v>2485</v>
      </c>
      <c r="C18" s="9">
        <v>299</v>
      </c>
      <c r="D18" s="9">
        <v>1667</v>
      </c>
      <c r="E18" s="9">
        <v>519</v>
      </c>
      <c r="F18" s="9">
        <v>818</v>
      </c>
      <c r="G18" s="9">
        <v>1327</v>
      </c>
      <c r="H18" s="9">
        <v>63</v>
      </c>
      <c r="I18" s="10">
        <v>12.0322</v>
      </c>
      <c r="J18" s="10">
        <v>67.082499999999996</v>
      </c>
      <c r="K18" s="10">
        <v>20.885300000000001</v>
      </c>
      <c r="L18" s="10">
        <v>36.552599999999998</v>
      </c>
      <c r="M18" s="11">
        <v>1.7358</v>
      </c>
      <c r="N18" s="8" t="str">
        <f>IF(B18&gt;='00_口径与参数'!$B$5,"高覆盖量","低覆盖量")</f>
        <v>高覆盖量</v>
      </c>
      <c r="O18" s="8" t="str">
        <f>IF(M18&gt;='00_口径与参数'!$B$6,"高比值","低比值")</f>
        <v>高比值</v>
      </c>
      <c r="P18" s="8" t="str">
        <f t="shared" si="0"/>
        <v>优先核查</v>
      </c>
      <c r="Q18" s="8" t="str">
        <f t="shared" si="1"/>
        <v>拆分至SKU并核查库存/费用/配送/结账</v>
      </c>
    </row>
    <row r="19" spans="1:17">
      <c r="A19" s="8" t="s">
        <v>45</v>
      </c>
      <c r="B19" s="9">
        <v>2416</v>
      </c>
      <c r="C19" s="9">
        <v>351</v>
      </c>
      <c r="D19" s="9">
        <v>1482</v>
      </c>
      <c r="E19" s="9">
        <v>583</v>
      </c>
      <c r="F19" s="9">
        <v>934</v>
      </c>
      <c r="G19" s="9">
        <v>733</v>
      </c>
      <c r="H19" s="9">
        <v>71</v>
      </c>
      <c r="I19" s="10">
        <v>14.5281</v>
      </c>
      <c r="J19" s="10">
        <v>61.341099999999997</v>
      </c>
      <c r="K19" s="10">
        <v>24.130800000000001</v>
      </c>
      <c r="L19" s="10">
        <v>37.580300000000001</v>
      </c>
      <c r="M19" s="11">
        <v>1.661</v>
      </c>
      <c r="N19" s="8" t="str">
        <f>IF(B19&gt;='00_口径与参数'!$B$5,"高覆盖量","低覆盖量")</f>
        <v>高覆盖量</v>
      </c>
      <c r="O19" s="8" t="str">
        <f>IF(M19&gt;='00_口径与参数'!$B$6,"高比值","低比值")</f>
        <v>高比值</v>
      </c>
      <c r="P19" s="8" t="str">
        <f t="shared" si="0"/>
        <v>优先核查</v>
      </c>
      <c r="Q19" s="8" t="str">
        <f t="shared" si="1"/>
        <v>拆分至SKU并核查库存/费用/配送/结账</v>
      </c>
    </row>
    <row r="20" spans="1:17">
      <c r="A20" s="8" t="s">
        <v>46</v>
      </c>
      <c r="B20" s="9">
        <v>1684</v>
      </c>
      <c r="C20" s="9">
        <v>270</v>
      </c>
      <c r="D20" s="9">
        <v>1004</v>
      </c>
      <c r="E20" s="9">
        <v>410</v>
      </c>
      <c r="F20" s="9">
        <v>680</v>
      </c>
      <c r="G20" s="9">
        <v>753</v>
      </c>
      <c r="H20" s="9">
        <v>235</v>
      </c>
      <c r="I20" s="10">
        <v>16.033300000000001</v>
      </c>
      <c r="J20" s="10">
        <v>59.62</v>
      </c>
      <c r="K20" s="10">
        <v>24.346800000000002</v>
      </c>
      <c r="L20" s="10">
        <v>39.7059</v>
      </c>
      <c r="M20" s="11">
        <v>1.5185</v>
      </c>
      <c r="N20" s="8" t="str">
        <f>IF(B20&gt;='00_口径与参数'!$B$5,"高覆盖量","低覆盖量")</f>
        <v>高覆盖量</v>
      </c>
      <c r="O20" s="8" t="str">
        <f>IF(M20&gt;='00_口径与参数'!$B$6,"高比值","低比值")</f>
        <v>高比值</v>
      </c>
      <c r="P20" s="8" t="str">
        <f t="shared" si="0"/>
        <v>优先核查</v>
      </c>
      <c r="Q20" s="8" t="str">
        <f t="shared" si="1"/>
        <v>拆分至SKU并核查库存/费用/配送/结账</v>
      </c>
    </row>
    <row r="21" spans="1:17">
      <c r="A21" s="8" t="s">
        <v>47</v>
      </c>
      <c r="B21" s="9">
        <v>1653</v>
      </c>
      <c r="C21" s="9">
        <v>239</v>
      </c>
      <c r="D21" s="9">
        <v>1019</v>
      </c>
      <c r="E21" s="9">
        <v>395</v>
      </c>
      <c r="F21" s="9">
        <v>634</v>
      </c>
      <c r="G21" s="9">
        <v>991</v>
      </c>
      <c r="H21" s="9">
        <v>279</v>
      </c>
      <c r="I21" s="10">
        <v>14.458600000000001</v>
      </c>
      <c r="J21" s="10">
        <v>61.645499999999998</v>
      </c>
      <c r="K21" s="10">
        <v>23.895900000000001</v>
      </c>
      <c r="L21" s="10">
        <v>37.697200000000002</v>
      </c>
      <c r="M21" s="11">
        <v>1.6527000000000001</v>
      </c>
      <c r="N21" s="8" t="str">
        <f>IF(B21&gt;='00_口径与参数'!$B$5,"高覆盖量","低覆盖量")</f>
        <v>高覆盖量</v>
      </c>
      <c r="O21" s="8" t="str">
        <f>IF(M21&gt;='00_口径与参数'!$B$6,"高比值","低比值")</f>
        <v>高比值</v>
      </c>
      <c r="P21" s="8" t="str">
        <f t="shared" si="0"/>
        <v>优先核查</v>
      </c>
      <c r="Q21" s="8" t="str">
        <f t="shared" si="1"/>
        <v>拆分至SKU并核查库存/费用/配送/结账</v>
      </c>
    </row>
    <row r="22" spans="1:17">
      <c r="A22" s="8" t="s">
        <v>48</v>
      </c>
      <c r="B22" s="9">
        <v>1583</v>
      </c>
      <c r="C22" s="9">
        <v>212</v>
      </c>
      <c r="D22" s="9">
        <v>949</v>
      </c>
      <c r="E22" s="9">
        <v>422</v>
      </c>
      <c r="F22" s="9">
        <v>634</v>
      </c>
      <c r="G22" s="9">
        <v>513</v>
      </c>
      <c r="H22" s="9">
        <v>300</v>
      </c>
      <c r="I22" s="10">
        <v>13.392300000000001</v>
      </c>
      <c r="J22" s="10">
        <v>59.9495</v>
      </c>
      <c r="K22" s="10">
        <v>26.658200000000001</v>
      </c>
      <c r="L22" s="10">
        <v>33.438499999999998</v>
      </c>
      <c r="M22" s="11">
        <v>1.9905999999999999</v>
      </c>
      <c r="N22" s="8" t="str">
        <f>IF(B22&gt;='00_口径与参数'!$B$5,"高覆盖量","低覆盖量")</f>
        <v>高覆盖量</v>
      </c>
      <c r="O22" s="8" t="str">
        <f>IF(M22&gt;='00_口径与参数'!$B$6,"高比值","低比值")</f>
        <v>高比值</v>
      </c>
      <c r="P22" s="8" t="str">
        <f t="shared" si="0"/>
        <v>优先核查</v>
      </c>
      <c r="Q22" s="8" t="str">
        <f t="shared" si="1"/>
        <v>拆分至SKU并核查库存/费用/配送/结账</v>
      </c>
    </row>
    <row r="23" spans="1:17">
      <c r="A23" s="8" t="s">
        <v>49</v>
      </c>
      <c r="B23" s="9">
        <v>61419</v>
      </c>
      <c r="C23" s="9">
        <v>8305</v>
      </c>
      <c r="D23" s="9">
        <v>41862</v>
      </c>
      <c r="E23" s="9">
        <v>11252</v>
      </c>
      <c r="F23" s="9">
        <v>19557</v>
      </c>
      <c r="G23" s="9">
        <v>19617</v>
      </c>
      <c r="H23" s="9">
        <v>1175</v>
      </c>
      <c r="I23" s="10">
        <v>13.5219</v>
      </c>
      <c r="J23" s="10">
        <v>68.158100000000005</v>
      </c>
      <c r="K23" s="10">
        <v>18.3201</v>
      </c>
      <c r="L23" s="10">
        <v>42.465600000000002</v>
      </c>
      <c r="M23" s="11">
        <v>1.3548</v>
      </c>
      <c r="N23" s="8" t="str">
        <f>IF(B23&gt;='00_口径与参数'!$B$5,"高覆盖量","低覆盖量")</f>
        <v>高覆盖量</v>
      </c>
      <c r="O23" s="8" t="str">
        <f>IF(M23&gt;='00_口径与参数'!$B$6,"高比值","低比值")</f>
        <v>低比值</v>
      </c>
      <c r="P23" s="8" t="str">
        <f t="shared" si="0"/>
        <v>规模优势/维护</v>
      </c>
      <c r="Q23" s="8" t="str">
        <f t="shared" si="1"/>
        <v>维持并监控异常</v>
      </c>
    </row>
    <row r="24" spans="1:17">
      <c r="A24" s="8" t="s">
        <v>50</v>
      </c>
      <c r="B24" s="9">
        <v>35830</v>
      </c>
      <c r="C24" s="9">
        <v>4838</v>
      </c>
      <c r="D24" s="9">
        <v>24326</v>
      </c>
      <c r="E24" s="9">
        <v>6666</v>
      </c>
      <c r="F24" s="9">
        <v>11504</v>
      </c>
      <c r="G24" s="9">
        <v>15616</v>
      </c>
      <c r="H24" s="9">
        <v>1213</v>
      </c>
      <c r="I24" s="10">
        <v>13.502700000000001</v>
      </c>
      <c r="J24" s="10">
        <v>67.892799999999994</v>
      </c>
      <c r="K24" s="10">
        <v>18.604500000000002</v>
      </c>
      <c r="L24" s="10">
        <v>42.054900000000004</v>
      </c>
      <c r="M24" s="11">
        <v>1.3777999999999999</v>
      </c>
      <c r="N24" s="8" t="str">
        <f>IF(B24&gt;='00_口径与参数'!$B$5,"高覆盖量","低覆盖量")</f>
        <v>高覆盖量</v>
      </c>
      <c r="O24" s="8" t="str">
        <f>IF(M24&gt;='00_口径与参数'!$B$6,"高比值","低比值")</f>
        <v>低比值</v>
      </c>
      <c r="P24" s="8" t="str">
        <f t="shared" si="0"/>
        <v>规模优势/维护</v>
      </c>
      <c r="Q24" s="8" t="str">
        <f t="shared" si="1"/>
        <v>维持并监控异常</v>
      </c>
    </row>
    <row r="25" spans="1:17">
      <c r="A25" s="8" t="s">
        <v>51</v>
      </c>
      <c r="B25" s="9">
        <v>20380</v>
      </c>
      <c r="C25" s="9">
        <v>3046</v>
      </c>
      <c r="D25" s="9">
        <v>14489</v>
      </c>
      <c r="E25" s="9">
        <v>2845</v>
      </c>
      <c r="F25" s="9">
        <v>5891</v>
      </c>
      <c r="G25" s="9">
        <v>6012</v>
      </c>
      <c r="H25" s="9">
        <v>294</v>
      </c>
      <c r="I25" s="10">
        <v>14.946</v>
      </c>
      <c r="J25" s="10">
        <v>71.094200000000001</v>
      </c>
      <c r="K25" s="10">
        <v>13.9598</v>
      </c>
      <c r="L25" s="10">
        <v>51.706000000000003</v>
      </c>
      <c r="M25" s="11">
        <v>0.93400000000000005</v>
      </c>
      <c r="N25" s="8" t="str">
        <f>IF(B25&gt;='00_口径与参数'!$B$5,"高覆盖量","低覆盖量")</f>
        <v>高覆盖量</v>
      </c>
      <c r="O25" s="8" t="str">
        <f>IF(M25&gt;='00_口径与参数'!$B$6,"高比值","低比值")</f>
        <v>低比值</v>
      </c>
      <c r="P25" s="8" t="str">
        <f t="shared" si="0"/>
        <v>规模优势/维护</v>
      </c>
      <c r="Q25" s="8" t="str">
        <f t="shared" si="1"/>
        <v>维持并监控异常</v>
      </c>
    </row>
    <row r="26" spans="1:17">
      <c r="A26" s="8" t="s">
        <v>52</v>
      </c>
      <c r="B26" s="9">
        <v>13741</v>
      </c>
      <c r="C26" s="9">
        <v>2341</v>
      </c>
      <c r="D26" s="9">
        <v>8462</v>
      </c>
      <c r="E26" s="9">
        <v>2938</v>
      </c>
      <c r="F26" s="9">
        <v>5279</v>
      </c>
      <c r="G26" s="9">
        <v>5709</v>
      </c>
      <c r="H26" s="9">
        <v>721</v>
      </c>
      <c r="I26" s="10">
        <v>17.0366</v>
      </c>
      <c r="J26" s="10">
        <v>61.582099999999997</v>
      </c>
      <c r="K26" s="10">
        <v>21.3813</v>
      </c>
      <c r="L26" s="10">
        <v>44.345500000000001</v>
      </c>
      <c r="M26" s="11">
        <v>1.2549999999999999</v>
      </c>
      <c r="N26" s="8" t="str">
        <f>IF(B26&gt;='00_口径与参数'!$B$5,"高覆盖量","低覆盖量")</f>
        <v>高覆盖量</v>
      </c>
      <c r="O26" s="8" t="str">
        <f>IF(M26&gt;='00_口径与参数'!$B$6,"高比值","低比值")</f>
        <v>低比值</v>
      </c>
      <c r="P26" s="8" t="str">
        <f t="shared" si="0"/>
        <v>规模优势/维护</v>
      </c>
      <c r="Q26" s="8" t="str">
        <f t="shared" si="1"/>
        <v>维持并监控异常</v>
      </c>
    </row>
    <row r="27" spans="1:17">
      <c r="A27" s="8" t="s">
        <v>53</v>
      </c>
      <c r="B27" s="9">
        <v>10713</v>
      </c>
      <c r="C27" s="9">
        <v>1789</v>
      </c>
      <c r="D27" s="9">
        <v>6690</v>
      </c>
      <c r="E27" s="9">
        <v>2234</v>
      </c>
      <c r="F27" s="9">
        <v>4023</v>
      </c>
      <c r="G27" s="9">
        <v>4342</v>
      </c>
      <c r="H27" s="9">
        <v>226</v>
      </c>
      <c r="I27" s="10">
        <v>16.699300000000001</v>
      </c>
      <c r="J27" s="10">
        <v>62.447499999999998</v>
      </c>
      <c r="K27" s="10">
        <v>20.853200000000001</v>
      </c>
      <c r="L27" s="10">
        <v>44.469299999999997</v>
      </c>
      <c r="M27" s="11">
        <v>1.2486999999999999</v>
      </c>
      <c r="N27" s="8" t="str">
        <f>IF(B27&gt;='00_口径与参数'!$B$5,"高覆盖量","低覆盖量")</f>
        <v>高覆盖量</v>
      </c>
      <c r="O27" s="8" t="str">
        <f>IF(M27&gt;='00_口径与参数'!$B$6,"高比值","低比值")</f>
        <v>低比值</v>
      </c>
      <c r="P27" s="8" t="str">
        <f t="shared" si="0"/>
        <v>规模优势/维护</v>
      </c>
      <c r="Q27" s="8" t="str">
        <f t="shared" si="1"/>
        <v>维持并监控异常</v>
      </c>
    </row>
    <row r="28" spans="1:17">
      <c r="A28" s="8" t="s">
        <v>54</v>
      </c>
      <c r="B28" s="9">
        <v>9148</v>
      </c>
      <c r="C28" s="9">
        <v>1329</v>
      </c>
      <c r="D28" s="9">
        <v>5876</v>
      </c>
      <c r="E28" s="9">
        <v>1943</v>
      </c>
      <c r="F28" s="9">
        <v>3272</v>
      </c>
      <c r="G28" s="9">
        <v>4456</v>
      </c>
      <c r="H28" s="9">
        <v>224</v>
      </c>
      <c r="I28" s="10">
        <v>14.527799999999999</v>
      </c>
      <c r="J28" s="10">
        <v>64.232600000000005</v>
      </c>
      <c r="K28" s="10">
        <v>21.239599999999999</v>
      </c>
      <c r="L28" s="10">
        <v>40.617400000000004</v>
      </c>
      <c r="M28" s="11">
        <v>1.462</v>
      </c>
      <c r="N28" s="8" t="str">
        <f>IF(B28&gt;='00_口径与参数'!$B$5,"高覆盖量","低覆盖量")</f>
        <v>高覆盖量</v>
      </c>
      <c r="O28" s="8" t="str">
        <f>IF(M28&gt;='00_口径与参数'!$B$6,"高比值","低比值")</f>
        <v>低比值</v>
      </c>
      <c r="P28" s="8" t="str">
        <f t="shared" si="0"/>
        <v>规模优势/维护</v>
      </c>
      <c r="Q28" s="8" t="str">
        <f t="shared" si="1"/>
        <v>维持并监控异常</v>
      </c>
    </row>
    <row r="29" spans="1:17">
      <c r="A29" s="8" t="s">
        <v>55</v>
      </c>
      <c r="B29" s="9">
        <v>8959</v>
      </c>
      <c r="C29" s="9">
        <v>1104</v>
      </c>
      <c r="D29" s="9">
        <v>6403</v>
      </c>
      <c r="E29" s="9">
        <v>1452</v>
      </c>
      <c r="F29" s="9">
        <v>2556</v>
      </c>
      <c r="G29" s="9">
        <v>2931</v>
      </c>
      <c r="H29" s="9">
        <v>687</v>
      </c>
      <c r="I29" s="10">
        <v>12.322800000000001</v>
      </c>
      <c r="J29" s="10">
        <v>71.47</v>
      </c>
      <c r="K29" s="10">
        <v>16.2072</v>
      </c>
      <c r="L29" s="10">
        <v>43.192500000000003</v>
      </c>
      <c r="M29" s="11">
        <v>1.3151999999999999</v>
      </c>
      <c r="N29" s="8" t="str">
        <f>IF(B29&gt;='00_口径与参数'!$B$5,"高覆盖量","低覆盖量")</f>
        <v>高覆盖量</v>
      </c>
      <c r="O29" s="8" t="str">
        <f>IF(M29&gt;='00_口径与参数'!$B$6,"高比值","低比值")</f>
        <v>低比值</v>
      </c>
      <c r="P29" s="8" t="str">
        <f t="shared" si="0"/>
        <v>规模优势/维护</v>
      </c>
      <c r="Q29" s="8" t="str">
        <f t="shared" si="1"/>
        <v>维持并监控异常</v>
      </c>
    </row>
    <row r="30" spans="1:17">
      <c r="A30" s="8" t="s">
        <v>56</v>
      </c>
      <c r="B30" s="9">
        <v>7475</v>
      </c>
      <c r="C30" s="9">
        <v>1469</v>
      </c>
      <c r="D30" s="9">
        <v>4597</v>
      </c>
      <c r="E30" s="9">
        <v>1409</v>
      </c>
      <c r="F30" s="9">
        <v>2878</v>
      </c>
      <c r="G30" s="9">
        <v>2930</v>
      </c>
      <c r="H30" s="9">
        <v>166</v>
      </c>
      <c r="I30" s="10">
        <v>19.652200000000001</v>
      </c>
      <c r="J30" s="10">
        <v>61.4983</v>
      </c>
      <c r="K30" s="10">
        <v>18.849499999999999</v>
      </c>
      <c r="L30" s="10">
        <v>51.042400000000001</v>
      </c>
      <c r="M30" s="11">
        <v>0.95920000000000005</v>
      </c>
      <c r="N30" s="8" t="str">
        <f>IF(B30&gt;='00_口径与参数'!$B$5,"高覆盖量","低覆盖量")</f>
        <v>高覆盖量</v>
      </c>
      <c r="O30" s="8" t="str">
        <f>IF(M30&gt;='00_口径与参数'!$B$6,"高比值","低比值")</f>
        <v>低比值</v>
      </c>
      <c r="P30" s="8" t="str">
        <f t="shared" si="0"/>
        <v>规模优势/维护</v>
      </c>
      <c r="Q30" s="8" t="str">
        <f t="shared" si="1"/>
        <v>维持并监控异常</v>
      </c>
    </row>
    <row r="31" spans="1:17">
      <c r="A31" s="8" t="s">
        <v>57</v>
      </c>
      <c r="B31" s="9">
        <v>7150</v>
      </c>
      <c r="C31" s="9">
        <v>1050</v>
      </c>
      <c r="D31" s="9">
        <v>4826</v>
      </c>
      <c r="E31" s="9">
        <v>1274</v>
      </c>
      <c r="F31" s="9">
        <v>2324</v>
      </c>
      <c r="G31" s="9">
        <v>3340</v>
      </c>
      <c r="H31" s="9">
        <v>447</v>
      </c>
      <c r="I31" s="10">
        <v>14.6853</v>
      </c>
      <c r="J31" s="10">
        <v>67.496499999999997</v>
      </c>
      <c r="K31" s="10">
        <v>17.818200000000001</v>
      </c>
      <c r="L31" s="10">
        <v>45.180700000000002</v>
      </c>
      <c r="M31" s="11">
        <v>1.2133</v>
      </c>
      <c r="N31" s="8" t="str">
        <f>IF(B31&gt;='00_口径与参数'!$B$5,"高覆盖量","低覆盖量")</f>
        <v>高覆盖量</v>
      </c>
      <c r="O31" s="8" t="str">
        <f>IF(M31&gt;='00_口径与参数'!$B$6,"高比值","低比值")</f>
        <v>低比值</v>
      </c>
      <c r="P31" s="8" t="str">
        <f t="shared" si="0"/>
        <v>规模优势/维护</v>
      </c>
      <c r="Q31" s="8" t="str">
        <f t="shared" si="1"/>
        <v>维持并监控异常</v>
      </c>
    </row>
    <row r="32" spans="1:17">
      <c r="A32" s="8" t="s">
        <v>58</v>
      </c>
      <c r="B32" s="9">
        <v>6031</v>
      </c>
      <c r="C32" s="9">
        <v>1070</v>
      </c>
      <c r="D32" s="9">
        <v>3833</v>
      </c>
      <c r="E32" s="9">
        <v>1128</v>
      </c>
      <c r="F32" s="9">
        <v>2198</v>
      </c>
      <c r="G32" s="9">
        <v>3947</v>
      </c>
      <c r="H32" s="9">
        <v>178</v>
      </c>
      <c r="I32" s="10">
        <v>17.741700000000002</v>
      </c>
      <c r="J32" s="10">
        <v>63.555</v>
      </c>
      <c r="K32" s="10">
        <v>18.703399999999998</v>
      </c>
      <c r="L32" s="10">
        <v>48.680599999999998</v>
      </c>
      <c r="M32" s="11">
        <v>1.0542</v>
      </c>
      <c r="N32" s="8" t="str">
        <f>IF(B32&gt;='00_口径与参数'!$B$5,"高覆盖量","低覆盖量")</f>
        <v>高覆盖量</v>
      </c>
      <c r="O32" s="8" t="str">
        <f>IF(M32&gt;='00_口径与参数'!$B$6,"高比值","低比值")</f>
        <v>低比值</v>
      </c>
      <c r="P32" s="8" t="str">
        <f t="shared" si="0"/>
        <v>规模优势/维护</v>
      </c>
      <c r="Q32" s="8" t="str">
        <f t="shared" si="1"/>
        <v>维持并监控异常</v>
      </c>
    </row>
    <row r="33" spans="1:17">
      <c r="A33" s="8" t="s">
        <v>59</v>
      </c>
      <c r="B33" s="9">
        <v>5964</v>
      </c>
      <c r="C33" s="9">
        <v>1025</v>
      </c>
      <c r="D33" s="9">
        <v>3736</v>
      </c>
      <c r="E33" s="9">
        <v>1203</v>
      </c>
      <c r="F33" s="9">
        <v>2228</v>
      </c>
      <c r="G33" s="9">
        <v>3225</v>
      </c>
      <c r="H33" s="9">
        <v>177</v>
      </c>
      <c r="I33" s="10">
        <v>17.186499999999999</v>
      </c>
      <c r="J33" s="10">
        <v>62.642499999999998</v>
      </c>
      <c r="K33" s="10">
        <v>20.170999999999999</v>
      </c>
      <c r="L33" s="10">
        <v>46.005400000000002</v>
      </c>
      <c r="M33" s="11">
        <v>1.1737</v>
      </c>
      <c r="N33" s="8" t="str">
        <f>IF(B33&gt;='00_口径与参数'!$B$5,"高覆盖量","低覆盖量")</f>
        <v>高覆盖量</v>
      </c>
      <c r="O33" s="8" t="str">
        <f>IF(M33&gt;='00_口径与参数'!$B$6,"高比值","低比值")</f>
        <v>低比值</v>
      </c>
      <c r="P33" s="8" t="str">
        <f t="shared" si="0"/>
        <v>规模优势/维护</v>
      </c>
      <c r="Q33" s="8" t="str">
        <f t="shared" si="1"/>
        <v>维持并监控异常</v>
      </c>
    </row>
    <row r="34" spans="1:17">
      <c r="A34" s="8" t="s">
        <v>60</v>
      </c>
      <c r="B34" s="9">
        <v>5853</v>
      </c>
      <c r="C34" s="9">
        <v>948</v>
      </c>
      <c r="D34" s="9">
        <v>3702</v>
      </c>
      <c r="E34" s="9">
        <v>1203</v>
      </c>
      <c r="F34" s="9">
        <v>2151</v>
      </c>
      <c r="G34" s="9">
        <v>3210</v>
      </c>
      <c r="H34" s="9">
        <v>265</v>
      </c>
      <c r="I34" s="10">
        <v>16.1968</v>
      </c>
      <c r="J34" s="10">
        <v>63.249600000000001</v>
      </c>
      <c r="K34" s="10">
        <v>20.553599999999999</v>
      </c>
      <c r="L34" s="10">
        <v>44.072499999999998</v>
      </c>
      <c r="M34" s="11">
        <v>1.2689999999999999</v>
      </c>
      <c r="N34" s="8" t="str">
        <f>IF(B34&gt;='00_口径与参数'!$B$5,"高覆盖量","低覆盖量")</f>
        <v>高覆盖量</v>
      </c>
      <c r="O34" s="8" t="str">
        <f>IF(M34&gt;='00_口径与参数'!$B$6,"高比值","低比值")</f>
        <v>低比值</v>
      </c>
      <c r="P34" s="8" t="str">
        <f t="shared" si="0"/>
        <v>规模优势/维护</v>
      </c>
      <c r="Q34" s="8" t="str">
        <f t="shared" si="1"/>
        <v>维持并监控异常</v>
      </c>
    </row>
    <row r="35" spans="1:17">
      <c r="A35" s="8" t="s">
        <v>61</v>
      </c>
      <c r="B35" s="9">
        <v>5284</v>
      </c>
      <c r="C35" s="9">
        <v>815</v>
      </c>
      <c r="D35" s="9">
        <v>3376</v>
      </c>
      <c r="E35" s="9">
        <v>1093</v>
      </c>
      <c r="F35" s="9">
        <v>1908</v>
      </c>
      <c r="G35" s="9">
        <v>2020</v>
      </c>
      <c r="H35" s="9">
        <v>322</v>
      </c>
      <c r="I35" s="10">
        <v>15.4239</v>
      </c>
      <c r="J35" s="10">
        <v>63.890999999999998</v>
      </c>
      <c r="K35" s="10">
        <v>20.685099999999998</v>
      </c>
      <c r="L35" s="10">
        <v>42.7149</v>
      </c>
      <c r="M35" s="11">
        <v>1.3411</v>
      </c>
      <c r="N35" s="8" t="str">
        <f>IF(B35&gt;='00_口径与参数'!$B$5,"高覆盖量","低覆盖量")</f>
        <v>高覆盖量</v>
      </c>
      <c r="O35" s="8" t="str">
        <f>IF(M35&gt;='00_口径与参数'!$B$6,"高比值","低比值")</f>
        <v>低比值</v>
      </c>
      <c r="P35" s="8" t="str">
        <f t="shared" ref="P35:P66" si="2">IF(AND(N35="高覆盖量",O35="高比值"),"优先核查",IF(N35="高覆盖量","规模优势/维护",IF(O35="高比值","监控并补样本","常规观察")))</f>
        <v>规模优势/维护</v>
      </c>
      <c r="Q35" s="8" t="str">
        <f t="shared" ref="Q35:Q66" si="3">IF(P35="优先核查","拆分至SKU并核查库存/费用/配送/结账",IF(P35="监控并补样本","补样本后再判断",IF(P35="规模优势/维护","维持并监控异常","常规观察")))</f>
        <v>维持并监控异常</v>
      </c>
    </row>
    <row r="36" spans="1:17">
      <c r="A36" s="8" t="s">
        <v>62</v>
      </c>
      <c r="B36" s="9">
        <v>4229</v>
      </c>
      <c r="C36" s="9">
        <v>680</v>
      </c>
      <c r="D36" s="9">
        <v>2945</v>
      </c>
      <c r="E36" s="9">
        <v>604</v>
      </c>
      <c r="F36" s="9">
        <v>1284</v>
      </c>
      <c r="G36" s="9">
        <v>1025</v>
      </c>
      <c r="H36" s="9">
        <v>167</v>
      </c>
      <c r="I36" s="10">
        <v>16.079499999999999</v>
      </c>
      <c r="J36" s="10">
        <v>69.638199999999998</v>
      </c>
      <c r="K36" s="10">
        <v>14.282299999999999</v>
      </c>
      <c r="L36" s="10">
        <v>52.959499999999998</v>
      </c>
      <c r="M36" s="11">
        <v>0.88819999999999999</v>
      </c>
      <c r="N36" s="8" t="str">
        <f>IF(B36&gt;='00_口径与参数'!$B$5,"高覆盖量","低覆盖量")</f>
        <v>高覆盖量</v>
      </c>
      <c r="O36" s="8" t="str">
        <f>IF(M36&gt;='00_口径与参数'!$B$6,"高比值","低比值")</f>
        <v>低比值</v>
      </c>
      <c r="P36" s="8" t="str">
        <f t="shared" si="2"/>
        <v>规模优势/维护</v>
      </c>
      <c r="Q36" s="8" t="str">
        <f t="shared" si="3"/>
        <v>维持并监控异常</v>
      </c>
    </row>
    <row r="37" spans="1:17">
      <c r="A37" s="8" t="s">
        <v>63</v>
      </c>
      <c r="B37" s="9">
        <v>3903</v>
      </c>
      <c r="C37" s="9">
        <v>800</v>
      </c>
      <c r="D37" s="9">
        <v>2415</v>
      </c>
      <c r="E37" s="9">
        <v>688</v>
      </c>
      <c r="F37" s="9">
        <v>1488</v>
      </c>
      <c r="G37" s="9">
        <v>1583</v>
      </c>
      <c r="H37" s="9">
        <v>86</v>
      </c>
      <c r="I37" s="10">
        <v>20.4971</v>
      </c>
      <c r="J37" s="10">
        <v>61.875500000000002</v>
      </c>
      <c r="K37" s="10">
        <v>17.627500000000001</v>
      </c>
      <c r="L37" s="10">
        <v>53.763399999999997</v>
      </c>
      <c r="M37" s="11">
        <v>0.86</v>
      </c>
      <c r="N37" s="8" t="str">
        <f>IF(B37&gt;='00_口径与参数'!$B$5,"高覆盖量","低覆盖量")</f>
        <v>高覆盖量</v>
      </c>
      <c r="O37" s="8" t="str">
        <f>IF(M37&gt;='00_口径与参数'!$B$6,"高比值","低比值")</f>
        <v>低比值</v>
      </c>
      <c r="P37" s="8" t="str">
        <f t="shared" si="2"/>
        <v>规模优势/维护</v>
      </c>
      <c r="Q37" s="8" t="str">
        <f t="shared" si="3"/>
        <v>维持并监控异常</v>
      </c>
    </row>
    <row r="38" spans="1:17">
      <c r="A38" s="8" t="s">
        <v>64</v>
      </c>
      <c r="B38" s="9">
        <v>3813</v>
      </c>
      <c r="C38" s="9">
        <v>690</v>
      </c>
      <c r="D38" s="9">
        <v>2522</v>
      </c>
      <c r="E38" s="9">
        <v>601</v>
      </c>
      <c r="F38" s="9">
        <v>1291</v>
      </c>
      <c r="G38" s="9">
        <v>2762</v>
      </c>
      <c r="H38" s="9">
        <v>52</v>
      </c>
      <c r="I38" s="10">
        <v>18.096</v>
      </c>
      <c r="J38" s="10">
        <v>66.142099999999999</v>
      </c>
      <c r="K38" s="10">
        <v>15.761900000000001</v>
      </c>
      <c r="L38" s="10">
        <v>53.446899999999999</v>
      </c>
      <c r="M38" s="11">
        <v>0.871</v>
      </c>
      <c r="N38" s="8" t="str">
        <f>IF(B38&gt;='00_口径与参数'!$B$5,"高覆盖量","低覆盖量")</f>
        <v>高覆盖量</v>
      </c>
      <c r="O38" s="8" t="str">
        <f>IF(M38&gt;='00_口径与参数'!$B$6,"高比值","低比值")</f>
        <v>低比值</v>
      </c>
      <c r="P38" s="8" t="str">
        <f t="shared" si="2"/>
        <v>规模优势/维护</v>
      </c>
      <c r="Q38" s="8" t="str">
        <f t="shared" si="3"/>
        <v>维持并监控异常</v>
      </c>
    </row>
    <row r="39" spans="1:17">
      <c r="A39" s="8" t="s">
        <v>65</v>
      </c>
      <c r="B39" s="9">
        <v>3774</v>
      </c>
      <c r="C39" s="9">
        <v>676</v>
      </c>
      <c r="D39" s="9">
        <v>2356</v>
      </c>
      <c r="E39" s="9">
        <v>742</v>
      </c>
      <c r="F39" s="9">
        <v>1418</v>
      </c>
      <c r="G39" s="9">
        <v>2490</v>
      </c>
      <c r="H39" s="9">
        <v>181</v>
      </c>
      <c r="I39" s="10">
        <v>17.911999999999999</v>
      </c>
      <c r="J39" s="10">
        <v>62.427100000000003</v>
      </c>
      <c r="K39" s="10">
        <v>19.660799999999998</v>
      </c>
      <c r="L39" s="10">
        <v>47.672800000000002</v>
      </c>
      <c r="M39" s="11">
        <v>1.0975999999999999</v>
      </c>
      <c r="N39" s="8" t="str">
        <f>IF(B39&gt;='00_口径与参数'!$B$5,"高覆盖量","低覆盖量")</f>
        <v>高覆盖量</v>
      </c>
      <c r="O39" s="8" t="str">
        <f>IF(M39&gt;='00_口径与参数'!$B$6,"高比值","低比值")</f>
        <v>低比值</v>
      </c>
      <c r="P39" s="8" t="str">
        <f t="shared" si="2"/>
        <v>规模优势/维护</v>
      </c>
      <c r="Q39" s="8" t="str">
        <f t="shared" si="3"/>
        <v>维持并监控异常</v>
      </c>
    </row>
    <row r="40" spans="1:17">
      <c r="A40" s="8" t="s">
        <v>66</v>
      </c>
      <c r="B40" s="9">
        <v>3629</v>
      </c>
      <c r="C40" s="9">
        <v>541</v>
      </c>
      <c r="D40" s="9">
        <v>2529</v>
      </c>
      <c r="E40" s="9">
        <v>559</v>
      </c>
      <c r="F40" s="9">
        <v>1100</v>
      </c>
      <c r="G40" s="9">
        <v>1775</v>
      </c>
      <c r="H40" s="9">
        <v>180</v>
      </c>
      <c r="I40" s="10">
        <v>14.9077</v>
      </c>
      <c r="J40" s="10">
        <v>69.688599999999994</v>
      </c>
      <c r="K40" s="10">
        <v>15.403700000000001</v>
      </c>
      <c r="L40" s="10">
        <v>49.181800000000003</v>
      </c>
      <c r="M40" s="11">
        <v>1.0333000000000001</v>
      </c>
      <c r="N40" s="8" t="str">
        <f>IF(B40&gt;='00_口径与参数'!$B$5,"高覆盖量","低覆盖量")</f>
        <v>高覆盖量</v>
      </c>
      <c r="O40" s="8" t="str">
        <f>IF(M40&gt;='00_口径与参数'!$B$6,"高比值","低比值")</f>
        <v>低比值</v>
      </c>
      <c r="P40" s="8" t="str">
        <f t="shared" si="2"/>
        <v>规模优势/维护</v>
      </c>
      <c r="Q40" s="8" t="str">
        <f t="shared" si="3"/>
        <v>维持并监控异常</v>
      </c>
    </row>
    <row r="41" spans="1:17">
      <c r="A41" s="8" t="s">
        <v>67</v>
      </c>
      <c r="B41" s="9">
        <v>3435</v>
      </c>
      <c r="C41" s="9">
        <v>557</v>
      </c>
      <c r="D41" s="9">
        <v>2187</v>
      </c>
      <c r="E41" s="9">
        <v>691</v>
      </c>
      <c r="F41" s="9">
        <v>1248</v>
      </c>
      <c r="G41" s="9">
        <v>2262</v>
      </c>
      <c r="H41" s="9">
        <v>149</v>
      </c>
      <c r="I41" s="10">
        <v>16.215399999999999</v>
      </c>
      <c r="J41" s="10">
        <v>63.668100000000003</v>
      </c>
      <c r="K41" s="10">
        <v>20.116399999999999</v>
      </c>
      <c r="L41" s="10">
        <v>44.631399999999999</v>
      </c>
      <c r="M41" s="11">
        <v>1.2405999999999999</v>
      </c>
      <c r="N41" s="8" t="str">
        <f>IF(B41&gt;='00_口径与参数'!$B$5,"高覆盖量","低覆盖量")</f>
        <v>高覆盖量</v>
      </c>
      <c r="O41" s="8" t="str">
        <f>IF(M41&gt;='00_口径与参数'!$B$6,"高比值","低比值")</f>
        <v>低比值</v>
      </c>
      <c r="P41" s="8" t="str">
        <f t="shared" si="2"/>
        <v>规模优势/维护</v>
      </c>
      <c r="Q41" s="8" t="str">
        <f t="shared" si="3"/>
        <v>维持并监控异常</v>
      </c>
    </row>
    <row r="42" spans="1:17">
      <c r="A42" s="8" t="s">
        <v>68</v>
      </c>
      <c r="B42" s="9">
        <v>3382</v>
      </c>
      <c r="C42" s="9">
        <v>518</v>
      </c>
      <c r="D42" s="9">
        <v>2154</v>
      </c>
      <c r="E42" s="9">
        <v>710</v>
      </c>
      <c r="F42" s="9">
        <v>1228</v>
      </c>
      <c r="G42" s="9">
        <v>1879</v>
      </c>
      <c r="H42" s="9">
        <v>138</v>
      </c>
      <c r="I42" s="10">
        <v>15.3164</v>
      </c>
      <c r="J42" s="10">
        <v>63.690100000000001</v>
      </c>
      <c r="K42" s="10">
        <v>20.993500000000001</v>
      </c>
      <c r="L42" s="10">
        <v>42.182400000000001</v>
      </c>
      <c r="M42" s="11">
        <v>1.3707</v>
      </c>
      <c r="N42" s="8" t="str">
        <f>IF(B42&gt;='00_口径与参数'!$B$5,"高覆盖量","低覆盖量")</f>
        <v>高覆盖量</v>
      </c>
      <c r="O42" s="8" t="str">
        <f>IF(M42&gt;='00_口径与参数'!$B$6,"高比值","低比值")</f>
        <v>低比值</v>
      </c>
      <c r="P42" s="8" t="str">
        <f t="shared" si="2"/>
        <v>规模优势/维护</v>
      </c>
      <c r="Q42" s="8" t="str">
        <f t="shared" si="3"/>
        <v>维持并监控异常</v>
      </c>
    </row>
    <row r="43" spans="1:17">
      <c r="A43" s="8" t="s">
        <v>69</v>
      </c>
      <c r="B43" s="9">
        <v>2439</v>
      </c>
      <c r="C43" s="9">
        <v>381</v>
      </c>
      <c r="D43" s="9">
        <v>1621</v>
      </c>
      <c r="E43" s="9">
        <v>437</v>
      </c>
      <c r="F43" s="9">
        <v>818</v>
      </c>
      <c r="G43" s="9">
        <v>1702</v>
      </c>
      <c r="H43" s="9">
        <v>63</v>
      </c>
      <c r="I43" s="10">
        <v>15.6212</v>
      </c>
      <c r="J43" s="10">
        <v>66.461699999999993</v>
      </c>
      <c r="K43" s="10">
        <v>17.917200000000001</v>
      </c>
      <c r="L43" s="10">
        <v>46.576999999999998</v>
      </c>
      <c r="M43" s="11">
        <v>1.147</v>
      </c>
      <c r="N43" s="8" t="str">
        <f>IF(B43&gt;='00_口径与参数'!$B$5,"高覆盖量","低覆盖量")</f>
        <v>高覆盖量</v>
      </c>
      <c r="O43" s="8" t="str">
        <f>IF(M43&gt;='00_口径与参数'!$B$6,"高比值","低比值")</f>
        <v>低比值</v>
      </c>
      <c r="P43" s="8" t="str">
        <f t="shared" si="2"/>
        <v>规模优势/维护</v>
      </c>
      <c r="Q43" s="8" t="str">
        <f t="shared" si="3"/>
        <v>维持并监控异常</v>
      </c>
    </row>
    <row r="44" spans="1:17">
      <c r="A44" s="8" t="s">
        <v>70</v>
      </c>
      <c r="B44" s="9">
        <v>2197</v>
      </c>
      <c r="C44" s="9">
        <v>359</v>
      </c>
      <c r="D44" s="9">
        <v>1404</v>
      </c>
      <c r="E44" s="9">
        <v>434</v>
      </c>
      <c r="F44" s="9">
        <v>793</v>
      </c>
      <c r="G44" s="9">
        <v>1506</v>
      </c>
      <c r="H44" s="9">
        <v>136</v>
      </c>
      <c r="I44" s="10">
        <v>16.340499999999999</v>
      </c>
      <c r="J44" s="10">
        <v>63.905299999999997</v>
      </c>
      <c r="K44" s="10">
        <v>19.754200000000001</v>
      </c>
      <c r="L44" s="10">
        <v>45.271099999999997</v>
      </c>
      <c r="M44" s="11">
        <v>1.2089000000000001</v>
      </c>
      <c r="N44" s="8" t="str">
        <f>IF(B44&gt;='00_口径与参数'!$B$5,"高覆盖量","低覆盖量")</f>
        <v>高覆盖量</v>
      </c>
      <c r="O44" s="8" t="str">
        <f>IF(M44&gt;='00_口径与参数'!$B$6,"高比值","低比值")</f>
        <v>低比值</v>
      </c>
      <c r="P44" s="8" t="str">
        <f t="shared" si="2"/>
        <v>规模优势/维护</v>
      </c>
      <c r="Q44" s="8" t="str">
        <f t="shared" si="3"/>
        <v>维持并监控异常</v>
      </c>
    </row>
    <row r="45" spans="1:17">
      <c r="A45" s="8" t="s">
        <v>71</v>
      </c>
      <c r="B45" s="9">
        <v>1874</v>
      </c>
      <c r="C45" s="9">
        <v>267</v>
      </c>
      <c r="D45" s="9">
        <v>1305</v>
      </c>
      <c r="E45" s="9">
        <v>302</v>
      </c>
      <c r="F45" s="9">
        <v>569</v>
      </c>
      <c r="G45" s="9">
        <v>956</v>
      </c>
      <c r="H45" s="9">
        <v>297</v>
      </c>
      <c r="I45" s="10">
        <v>14.2476</v>
      </c>
      <c r="J45" s="10">
        <v>69.637100000000004</v>
      </c>
      <c r="K45" s="10">
        <v>16.115300000000001</v>
      </c>
      <c r="L45" s="10">
        <v>46.924399999999999</v>
      </c>
      <c r="M45" s="11">
        <v>1.1311</v>
      </c>
      <c r="N45" s="8" t="str">
        <f>IF(B45&gt;='00_口径与参数'!$B$5,"高覆盖量","低覆盖量")</f>
        <v>高覆盖量</v>
      </c>
      <c r="O45" s="8" t="str">
        <f>IF(M45&gt;='00_口径与参数'!$B$6,"高比值","低比值")</f>
        <v>低比值</v>
      </c>
      <c r="P45" s="8" t="str">
        <f t="shared" si="2"/>
        <v>规模优势/维护</v>
      </c>
      <c r="Q45" s="8" t="str">
        <f t="shared" si="3"/>
        <v>维持并监控异常</v>
      </c>
    </row>
    <row r="46" spans="1:17">
      <c r="A46" s="8" t="s">
        <v>72</v>
      </c>
      <c r="B46" s="9">
        <v>1837</v>
      </c>
      <c r="C46" s="9">
        <v>332</v>
      </c>
      <c r="D46" s="9">
        <v>1163</v>
      </c>
      <c r="E46" s="9">
        <v>342</v>
      </c>
      <c r="F46" s="9">
        <v>674</v>
      </c>
      <c r="G46" s="9">
        <v>885</v>
      </c>
      <c r="H46" s="9">
        <v>57</v>
      </c>
      <c r="I46" s="10">
        <v>18.072900000000001</v>
      </c>
      <c r="J46" s="10">
        <v>63.309699999999999</v>
      </c>
      <c r="K46" s="10">
        <v>18.6173</v>
      </c>
      <c r="L46" s="10">
        <v>49.258200000000002</v>
      </c>
      <c r="M46" s="11">
        <v>1.0301</v>
      </c>
      <c r="N46" s="8" t="str">
        <f>IF(B46&gt;='00_口径与参数'!$B$5,"高覆盖量","低覆盖量")</f>
        <v>高覆盖量</v>
      </c>
      <c r="O46" s="8" t="str">
        <f>IF(M46&gt;='00_口径与参数'!$B$6,"高比值","低比值")</f>
        <v>低比值</v>
      </c>
      <c r="P46" s="8" t="str">
        <f t="shared" si="2"/>
        <v>规模优势/维护</v>
      </c>
      <c r="Q46" s="8" t="str">
        <f t="shared" si="3"/>
        <v>维持并监控异常</v>
      </c>
    </row>
    <row r="47" spans="1:17">
      <c r="A47" s="8" t="s">
        <v>73</v>
      </c>
      <c r="B47" s="9">
        <v>1755</v>
      </c>
      <c r="C47" s="9">
        <v>360</v>
      </c>
      <c r="D47" s="9">
        <v>1086</v>
      </c>
      <c r="E47" s="9">
        <v>309</v>
      </c>
      <c r="F47" s="9">
        <v>669</v>
      </c>
      <c r="G47" s="9">
        <v>684</v>
      </c>
      <c r="H47" s="9">
        <v>89</v>
      </c>
      <c r="I47" s="10">
        <v>20.512799999999999</v>
      </c>
      <c r="J47" s="10">
        <v>61.880299999999998</v>
      </c>
      <c r="K47" s="10">
        <v>17.6068</v>
      </c>
      <c r="L47" s="10">
        <v>53.811700000000002</v>
      </c>
      <c r="M47" s="11">
        <v>0.85829999999999995</v>
      </c>
      <c r="N47" s="8" t="str">
        <f>IF(B47&gt;='00_口径与参数'!$B$5,"高覆盖量","低覆盖量")</f>
        <v>高覆盖量</v>
      </c>
      <c r="O47" s="8" t="str">
        <f>IF(M47&gt;='00_口径与参数'!$B$6,"高比值","低比值")</f>
        <v>低比值</v>
      </c>
      <c r="P47" s="8" t="str">
        <f t="shared" si="2"/>
        <v>规模优势/维护</v>
      </c>
      <c r="Q47" s="8" t="str">
        <f t="shared" si="3"/>
        <v>维持并监控异常</v>
      </c>
    </row>
    <row r="48" spans="1:17">
      <c r="A48" s="8" t="s">
        <v>74</v>
      </c>
      <c r="B48" s="9">
        <v>1592</v>
      </c>
      <c r="C48" s="9">
        <v>218</v>
      </c>
      <c r="D48" s="9">
        <v>1092</v>
      </c>
      <c r="E48" s="9">
        <v>282</v>
      </c>
      <c r="F48" s="9">
        <v>500</v>
      </c>
      <c r="G48" s="9">
        <v>1068</v>
      </c>
      <c r="H48" s="9">
        <v>110</v>
      </c>
      <c r="I48" s="10">
        <v>13.6935</v>
      </c>
      <c r="J48" s="10">
        <v>68.593000000000004</v>
      </c>
      <c r="K48" s="10">
        <v>17.7136</v>
      </c>
      <c r="L48" s="10">
        <v>43.6</v>
      </c>
      <c r="M48" s="11">
        <v>1.2936000000000001</v>
      </c>
      <c r="N48" s="8" t="str">
        <f>IF(B48&gt;='00_口径与参数'!$B$5,"高覆盖量","低覆盖量")</f>
        <v>高覆盖量</v>
      </c>
      <c r="O48" s="8" t="str">
        <f>IF(M48&gt;='00_口径与参数'!$B$6,"高比值","低比值")</f>
        <v>低比值</v>
      </c>
      <c r="P48" s="8" t="str">
        <f t="shared" si="2"/>
        <v>规模优势/维护</v>
      </c>
      <c r="Q48" s="8" t="str">
        <f t="shared" si="3"/>
        <v>维持并监控异常</v>
      </c>
    </row>
    <row r="49" spans="1:17">
      <c r="A49" s="8" t="s">
        <v>75</v>
      </c>
      <c r="B49" s="9">
        <v>1389</v>
      </c>
      <c r="C49" s="9">
        <v>235</v>
      </c>
      <c r="D49" s="9">
        <v>927</v>
      </c>
      <c r="E49" s="9">
        <v>227</v>
      </c>
      <c r="F49" s="9">
        <v>462</v>
      </c>
      <c r="G49" s="9">
        <v>667</v>
      </c>
      <c r="H49" s="9">
        <v>199</v>
      </c>
      <c r="I49" s="10">
        <v>16.918600000000001</v>
      </c>
      <c r="J49" s="10">
        <v>66.738699999999994</v>
      </c>
      <c r="K49" s="10">
        <v>16.342700000000001</v>
      </c>
      <c r="L49" s="10">
        <v>50.8658</v>
      </c>
      <c r="M49" s="11">
        <v>0.96599999999999997</v>
      </c>
      <c r="N49" s="8" t="str">
        <f>IF(B49&gt;='00_口径与参数'!$B$5,"高覆盖量","低覆盖量")</f>
        <v>高覆盖量</v>
      </c>
      <c r="O49" s="8" t="str">
        <f>IF(M49&gt;='00_口径与参数'!$B$6,"高比值","低比值")</f>
        <v>低比值</v>
      </c>
      <c r="P49" s="8" t="str">
        <f t="shared" si="2"/>
        <v>规模优势/维护</v>
      </c>
      <c r="Q49" s="8" t="str">
        <f t="shared" si="3"/>
        <v>维持并监控异常</v>
      </c>
    </row>
    <row r="50" spans="1:17">
      <c r="A50" s="8" t="s">
        <v>76</v>
      </c>
      <c r="B50" s="9">
        <v>1387</v>
      </c>
      <c r="C50" s="9">
        <v>266</v>
      </c>
      <c r="D50" s="9">
        <v>794</v>
      </c>
      <c r="E50" s="9">
        <v>327</v>
      </c>
      <c r="F50" s="9">
        <v>593</v>
      </c>
      <c r="G50" s="9">
        <v>670</v>
      </c>
      <c r="H50" s="9">
        <v>74</v>
      </c>
      <c r="I50" s="10">
        <v>19.178100000000001</v>
      </c>
      <c r="J50" s="10">
        <v>57.245899999999999</v>
      </c>
      <c r="K50" s="10">
        <v>23.5761</v>
      </c>
      <c r="L50" s="10">
        <v>44.856699999999996</v>
      </c>
      <c r="M50" s="11">
        <v>1.2293000000000001</v>
      </c>
      <c r="N50" s="8" t="str">
        <f>IF(B50&gt;='00_口径与参数'!$B$5,"高覆盖量","低覆盖量")</f>
        <v>高覆盖量</v>
      </c>
      <c r="O50" s="8" t="str">
        <f>IF(M50&gt;='00_口径与参数'!$B$6,"高比值","低比值")</f>
        <v>低比值</v>
      </c>
      <c r="P50" s="8" t="str">
        <f t="shared" si="2"/>
        <v>规模优势/维护</v>
      </c>
      <c r="Q50" s="8" t="str">
        <f t="shared" si="3"/>
        <v>维持并监控异常</v>
      </c>
    </row>
    <row r="51" spans="1:17">
      <c r="A51" s="8" t="s">
        <v>77</v>
      </c>
      <c r="B51" s="9">
        <v>1342</v>
      </c>
      <c r="C51" s="9">
        <v>194</v>
      </c>
      <c r="D51" s="9">
        <v>869</v>
      </c>
      <c r="E51" s="9">
        <v>279</v>
      </c>
      <c r="F51" s="9">
        <v>473</v>
      </c>
      <c r="G51" s="9">
        <v>766</v>
      </c>
      <c r="H51" s="9">
        <v>113</v>
      </c>
      <c r="I51" s="10">
        <v>14.456</v>
      </c>
      <c r="J51" s="10">
        <v>64.754099999999994</v>
      </c>
      <c r="K51" s="10">
        <v>20.789899999999999</v>
      </c>
      <c r="L51" s="10">
        <v>41.014800000000001</v>
      </c>
      <c r="M51" s="11">
        <v>1.4380999999999999</v>
      </c>
      <c r="N51" s="8" t="str">
        <f>IF(B51&gt;='00_口径与参数'!$B$5,"高覆盖量","低覆盖量")</f>
        <v>高覆盖量</v>
      </c>
      <c r="O51" s="8" t="str">
        <f>IF(M51&gt;='00_口径与参数'!$B$6,"高比值","低比值")</f>
        <v>低比值</v>
      </c>
      <c r="P51" s="8" t="str">
        <f t="shared" si="2"/>
        <v>规模优势/维护</v>
      </c>
      <c r="Q51" s="8" t="str">
        <f t="shared" si="3"/>
        <v>维持并监控异常</v>
      </c>
    </row>
    <row r="52" spans="1:17">
      <c r="A52" s="8" t="s">
        <v>78</v>
      </c>
      <c r="B52" s="9">
        <v>1263</v>
      </c>
      <c r="C52" s="9">
        <v>257</v>
      </c>
      <c r="D52" s="9">
        <v>783</v>
      </c>
      <c r="E52" s="9">
        <v>223</v>
      </c>
      <c r="F52" s="9">
        <v>480</v>
      </c>
      <c r="G52" s="9">
        <v>651</v>
      </c>
      <c r="H52" s="9">
        <v>37</v>
      </c>
      <c r="I52" s="10">
        <v>20.348400000000002</v>
      </c>
      <c r="J52" s="10">
        <v>61.995199999999997</v>
      </c>
      <c r="K52" s="10">
        <v>17.656400000000001</v>
      </c>
      <c r="L52" s="10">
        <v>53.541699999999999</v>
      </c>
      <c r="M52" s="11">
        <v>0.86770000000000003</v>
      </c>
      <c r="N52" s="8" t="str">
        <f>IF(B52&gt;='00_口径与参数'!$B$5,"高覆盖量","低覆盖量")</f>
        <v>低覆盖量</v>
      </c>
      <c r="O52" s="8" t="str">
        <f>IF(M52&gt;='00_口径与参数'!$B$6,"高比值","低比值")</f>
        <v>低比值</v>
      </c>
      <c r="P52" s="8" t="str">
        <f t="shared" si="2"/>
        <v>常规观察</v>
      </c>
      <c r="Q52" s="8" t="str">
        <f t="shared" si="3"/>
        <v>常规观察</v>
      </c>
    </row>
    <row r="53" spans="1:17">
      <c r="A53" s="8" t="s">
        <v>79</v>
      </c>
      <c r="B53" s="9">
        <v>1242</v>
      </c>
      <c r="C53" s="9">
        <v>164</v>
      </c>
      <c r="D53" s="9">
        <v>830</v>
      </c>
      <c r="E53" s="9">
        <v>248</v>
      </c>
      <c r="F53" s="9">
        <v>412</v>
      </c>
      <c r="G53" s="9">
        <v>730</v>
      </c>
      <c r="H53" s="9">
        <v>93</v>
      </c>
      <c r="I53" s="10">
        <v>13.204499999999999</v>
      </c>
      <c r="J53" s="10">
        <v>66.827699999999993</v>
      </c>
      <c r="K53" s="10">
        <v>19.9678</v>
      </c>
      <c r="L53" s="10">
        <v>39.805799999999998</v>
      </c>
      <c r="M53" s="11">
        <v>1.5122</v>
      </c>
      <c r="N53" s="8" t="str">
        <f>IF(B53&gt;='00_口径与参数'!$B$5,"高覆盖量","低覆盖量")</f>
        <v>低覆盖量</v>
      </c>
      <c r="O53" s="8" t="str">
        <f>IF(M53&gt;='00_口径与参数'!$B$6,"高比值","低比值")</f>
        <v>高比值</v>
      </c>
      <c r="P53" s="8" t="str">
        <f t="shared" si="2"/>
        <v>监控并补样本</v>
      </c>
      <c r="Q53" s="8" t="str">
        <f t="shared" si="3"/>
        <v>补样本后再判断</v>
      </c>
    </row>
    <row r="54" spans="1:17">
      <c r="A54" s="8" t="s">
        <v>80</v>
      </c>
      <c r="B54" s="9">
        <v>1049</v>
      </c>
      <c r="C54" s="9">
        <v>200</v>
      </c>
      <c r="D54" s="9">
        <v>608</v>
      </c>
      <c r="E54" s="9">
        <v>241</v>
      </c>
      <c r="F54" s="9">
        <v>441</v>
      </c>
      <c r="G54" s="9">
        <v>739</v>
      </c>
      <c r="H54" s="9">
        <v>22</v>
      </c>
      <c r="I54" s="10">
        <v>19.065799999999999</v>
      </c>
      <c r="J54" s="10">
        <v>57.96</v>
      </c>
      <c r="K54" s="10">
        <v>22.974299999999999</v>
      </c>
      <c r="L54" s="10">
        <v>45.351500000000001</v>
      </c>
      <c r="M54" s="11">
        <v>1.2050000000000001</v>
      </c>
      <c r="N54" s="8" t="str">
        <f>IF(B54&gt;='00_口径与参数'!$B$5,"高覆盖量","低覆盖量")</f>
        <v>低覆盖量</v>
      </c>
      <c r="O54" s="8" t="str">
        <f>IF(M54&gt;='00_口径与参数'!$B$6,"高比值","低比值")</f>
        <v>低比值</v>
      </c>
      <c r="P54" s="8" t="str">
        <f t="shared" si="2"/>
        <v>常规观察</v>
      </c>
      <c r="Q54" s="8" t="str">
        <f t="shared" si="3"/>
        <v>常规观察</v>
      </c>
    </row>
    <row r="55" spans="1:17">
      <c r="A55" s="8" t="s">
        <v>81</v>
      </c>
      <c r="B55" s="9">
        <v>959</v>
      </c>
      <c r="C55" s="9">
        <v>151</v>
      </c>
      <c r="D55" s="9">
        <v>632</v>
      </c>
      <c r="E55" s="9">
        <v>176</v>
      </c>
      <c r="F55" s="9">
        <v>327</v>
      </c>
      <c r="G55" s="9">
        <v>570</v>
      </c>
      <c r="H55" s="9">
        <v>76</v>
      </c>
      <c r="I55" s="10">
        <v>15.7456</v>
      </c>
      <c r="J55" s="10">
        <v>65.902000000000001</v>
      </c>
      <c r="K55" s="10">
        <v>18.352499999999999</v>
      </c>
      <c r="L55" s="10">
        <v>46.177399999999999</v>
      </c>
      <c r="M55" s="11">
        <v>1.1656</v>
      </c>
      <c r="N55" s="8" t="str">
        <f>IF(B55&gt;='00_口径与参数'!$B$5,"高覆盖量","低覆盖量")</f>
        <v>低覆盖量</v>
      </c>
      <c r="O55" s="8" t="str">
        <f>IF(M55&gt;='00_口径与参数'!$B$6,"高比值","低比值")</f>
        <v>低比值</v>
      </c>
      <c r="P55" s="8" t="str">
        <f t="shared" si="2"/>
        <v>常规观察</v>
      </c>
      <c r="Q55" s="8" t="str">
        <f t="shared" si="3"/>
        <v>常规观察</v>
      </c>
    </row>
    <row r="56" spans="1:17">
      <c r="A56" s="8" t="s">
        <v>82</v>
      </c>
      <c r="B56" s="9">
        <v>947</v>
      </c>
      <c r="C56" s="9">
        <v>155</v>
      </c>
      <c r="D56" s="9">
        <v>594</v>
      </c>
      <c r="E56" s="9">
        <v>198</v>
      </c>
      <c r="F56" s="9">
        <v>353</v>
      </c>
      <c r="G56" s="9">
        <v>495</v>
      </c>
      <c r="H56" s="9">
        <v>12</v>
      </c>
      <c r="I56" s="10">
        <v>16.3675</v>
      </c>
      <c r="J56" s="10">
        <v>62.724400000000003</v>
      </c>
      <c r="K56" s="10">
        <v>20.908100000000001</v>
      </c>
      <c r="L56" s="10">
        <v>43.909300000000002</v>
      </c>
      <c r="M56" s="11">
        <v>1.2774000000000001</v>
      </c>
      <c r="N56" s="8" t="str">
        <f>IF(B56&gt;='00_口径与参数'!$B$5,"高覆盖量","低覆盖量")</f>
        <v>低覆盖量</v>
      </c>
      <c r="O56" s="8" t="str">
        <f>IF(M56&gt;='00_口径与参数'!$B$6,"高比值","低比值")</f>
        <v>低比值</v>
      </c>
      <c r="P56" s="8" t="str">
        <f t="shared" si="2"/>
        <v>常规观察</v>
      </c>
      <c r="Q56" s="8" t="str">
        <f t="shared" si="3"/>
        <v>常规观察</v>
      </c>
    </row>
    <row r="57" spans="1:17">
      <c r="A57" s="8" t="s">
        <v>83</v>
      </c>
      <c r="B57" s="9">
        <v>947</v>
      </c>
      <c r="C57" s="9">
        <v>202</v>
      </c>
      <c r="D57" s="9">
        <v>587</v>
      </c>
      <c r="E57" s="9">
        <v>158</v>
      </c>
      <c r="F57" s="9">
        <v>360</v>
      </c>
      <c r="G57" s="9">
        <v>465</v>
      </c>
      <c r="H57" s="9">
        <v>56</v>
      </c>
      <c r="I57" s="10">
        <v>21.330500000000001</v>
      </c>
      <c r="J57" s="10">
        <v>61.985199999999999</v>
      </c>
      <c r="K57" s="10">
        <v>16.6843</v>
      </c>
      <c r="L57" s="10">
        <v>56.1111</v>
      </c>
      <c r="M57" s="11">
        <v>0.78220000000000001</v>
      </c>
      <c r="N57" s="8" t="str">
        <f>IF(B57&gt;='00_口径与参数'!$B$5,"高覆盖量","低覆盖量")</f>
        <v>低覆盖量</v>
      </c>
      <c r="O57" s="8" t="str">
        <f>IF(M57&gt;='00_口径与参数'!$B$6,"高比值","低比值")</f>
        <v>低比值</v>
      </c>
      <c r="P57" s="8" t="str">
        <f t="shared" si="2"/>
        <v>常规观察</v>
      </c>
      <c r="Q57" s="8" t="str">
        <f t="shared" si="3"/>
        <v>常规观察</v>
      </c>
    </row>
    <row r="58" spans="1:17">
      <c r="A58" s="8" t="s">
        <v>84</v>
      </c>
      <c r="B58" s="9">
        <v>924</v>
      </c>
      <c r="C58" s="9">
        <v>205</v>
      </c>
      <c r="D58" s="9">
        <v>526</v>
      </c>
      <c r="E58" s="9">
        <v>193</v>
      </c>
      <c r="F58" s="9">
        <v>398</v>
      </c>
      <c r="G58" s="9">
        <v>595</v>
      </c>
      <c r="H58" s="9">
        <v>59</v>
      </c>
      <c r="I58" s="10">
        <v>22.1861</v>
      </c>
      <c r="J58" s="10">
        <v>56.926400000000001</v>
      </c>
      <c r="K58" s="10">
        <v>20.8874</v>
      </c>
      <c r="L58" s="10">
        <v>51.5075</v>
      </c>
      <c r="M58" s="11">
        <v>0.9415</v>
      </c>
      <c r="N58" s="8" t="str">
        <f>IF(B58&gt;='00_口径与参数'!$B$5,"高覆盖量","低覆盖量")</f>
        <v>低覆盖量</v>
      </c>
      <c r="O58" s="8" t="str">
        <f>IF(M58&gt;='00_口径与参数'!$B$6,"高比值","低比值")</f>
        <v>低比值</v>
      </c>
      <c r="P58" s="8" t="str">
        <f t="shared" si="2"/>
        <v>常规观察</v>
      </c>
      <c r="Q58" s="8" t="str">
        <f t="shared" si="3"/>
        <v>常规观察</v>
      </c>
    </row>
    <row r="59" spans="1:17">
      <c r="A59" s="8" t="s">
        <v>85</v>
      </c>
      <c r="B59" s="9">
        <v>859</v>
      </c>
      <c r="C59" s="9">
        <v>121</v>
      </c>
      <c r="D59" s="9">
        <v>599</v>
      </c>
      <c r="E59" s="9">
        <v>139</v>
      </c>
      <c r="F59" s="9">
        <v>260</v>
      </c>
      <c r="G59" s="9">
        <v>597</v>
      </c>
      <c r="H59" s="9">
        <v>16</v>
      </c>
      <c r="I59" s="10">
        <v>14.0861</v>
      </c>
      <c r="J59" s="10">
        <v>69.732200000000006</v>
      </c>
      <c r="K59" s="10">
        <v>16.1816</v>
      </c>
      <c r="L59" s="10">
        <v>46.538499999999999</v>
      </c>
      <c r="M59" s="11">
        <v>1.1488</v>
      </c>
      <c r="N59" s="8" t="str">
        <f>IF(B59&gt;='00_口径与参数'!$B$5,"高覆盖量","低覆盖量")</f>
        <v>低覆盖量</v>
      </c>
      <c r="O59" s="8" t="str">
        <f>IF(M59&gt;='00_口径与参数'!$B$6,"高比值","低比值")</f>
        <v>低比值</v>
      </c>
      <c r="P59" s="8" t="str">
        <f t="shared" si="2"/>
        <v>常规观察</v>
      </c>
      <c r="Q59" s="8" t="str">
        <f t="shared" si="3"/>
        <v>常规观察</v>
      </c>
    </row>
    <row r="60" spans="1:17">
      <c r="A60" s="8" t="s">
        <v>86</v>
      </c>
      <c r="B60" s="9">
        <v>844</v>
      </c>
      <c r="C60" s="9">
        <v>82</v>
      </c>
      <c r="D60" s="9">
        <v>510</v>
      </c>
      <c r="E60" s="9">
        <v>252</v>
      </c>
      <c r="F60" s="9">
        <v>334</v>
      </c>
      <c r="G60" s="9">
        <v>334</v>
      </c>
      <c r="H60" s="9">
        <v>120</v>
      </c>
      <c r="I60" s="10">
        <v>9.7156000000000002</v>
      </c>
      <c r="J60" s="10">
        <v>60.426499999999997</v>
      </c>
      <c r="K60" s="10">
        <v>29.857800000000001</v>
      </c>
      <c r="L60" s="10">
        <v>24.550899999999999</v>
      </c>
      <c r="M60" s="11">
        <v>3.0731999999999999</v>
      </c>
      <c r="N60" s="8" t="str">
        <f>IF(B60&gt;='00_口径与参数'!$B$5,"高覆盖量","低覆盖量")</f>
        <v>低覆盖量</v>
      </c>
      <c r="O60" s="8" t="str">
        <f>IF(M60&gt;='00_口径与参数'!$B$6,"高比值","低比值")</f>
        <v>高比值</v>
      </c>
      <c r="P60" s="8" t="str">
        <f t="shared" si="2"/>
        <v>监控并补样本</v>
      </c>
      <c r="Q60" s="8" t="str">
        <f t="shared" si="3"/>
        <v>补样本后再判断</v>
      </c>
    </row>
    <row r="61" spans="1:17">
      <c r="A61" s="8" t="s">
        <v>87</v>
      </c>
      <c r="B61" s="9">
        <v>839</v>
      </c>
      <c r="C61" s="9">
        <v>141</v>
      </c>
      <c r="D61" s="9">
        <v>522</v>
      </c>
      <c r="E61" s="9">
        <v>176</v>
      </c>
      <c r="F61" s="9">
        <v>317</v>
      </c>
      <c r="G61" s="9">
        <v>548</v>
      </c>
      <c r="H61" s="9">
        <v>93</v>
      </c>
      <c r="I61" s="10">
        <v>16.805700000000002</v>
      </c>
      <c r="J61" s="10">
        <v>62.216900000000003</v>
      </c>
      <c r="K61" s="10">
        <v>20.977399999999999</v>
      </c>
      <c r="L61" s="10">
        <v>44.479500000000002</v>
      </c>
      <c r="M61" s="11">
        <v>1.2482</v>
      </c>
      <c r="N61" s="8" t="str">
        <f>IF(B61&gt;='00_口径与参数'!$B$5,"高覆盖量","低覆盖量")</f>
        <v>低覆盖量</v>
      </c>
      <c r="O61" s="8" t="str">
        <f>IF(M61&gt;='00_口径与参数'!$B$6,"高比值","低比值")</f>
        <v>低比值</v>
      </c>
      <c r="P61" s="8" t="str">
        <f t="shared" si="2"/>
        <v>常规观察</v>
      </c>
      <c r="Q61" s="8" t="str">
        <f t="shared" si="3"/>
        <v>常规观察</v>
      </c>
    </row>
    <row r="62" spans="1:17">
      <c r="A62" s="8" t="s">
        <v>88</v>
      </c>
      <c r="B62" s="9">
        <v>832</v>
      </c>
      <c r="C62" s="9">
        <v>124</v>
      </c>
      <c r="D62" s="9">
        <v>516</v>
      </c>
      <c r="E62" s="9">
        <v>192</v>
      </c>
      <c r="F62" s="9">
        <v>316</v>
      </c>
      <c r="G62" s="9">
        <v>464</v>
      </c>
      <c r="H62" s="9">
        <v>93</v>
      </c>
      <c r="I62" s="10">
        <v>14.9038</v>
      </c>
      <c r="J62" s="10">
        <v>62.019199999999998</v>
      </c>
      <c r="K62" s="10">
        <v>23.076899999999998</v>
      </c>
      <c r="L62" s="10">
        <v>39.240499999999997</v>
      </c>
      <c r="M62" s="11">
        <v>1.5484</v>
      </c>
      <c r="N62" s="8" t="str">
        <f>IF(B62&gt;='00_口径与参数'!$B$5,"高覆盖量","低覆盖量")</f>
        <v>低覆盖量</v>
      </c>
      <c r="O62" s="8" t="str">
        <f>IF(M62&gt;='00_口径与参数'!$B$6,"高比值","低比值")</f>
        <v>高比值</v>
      </c>
      <c r="P62" s="8" t="str">
        <f t="shared" si="2"/>
        <v>监控并补样本</v>
      </c>
      <c r="Q62" s="8" t="str">
        <f t="shared" si="3"/>
        <v>补样本后再判断</v>
      </c>
    </row>
    <row r="63" spans="1:17">
      <c r="A63" s="8" t="s">
        <v>89</v>
      </c>
      <c r="B63" s="9">
        <v>821</v>
      </c>
      <c r="C63" s="9">
        <v>161</v>
      </c>
      <c r="D63" s="9">
        <v>533</v>
      </c>
      <c r="E63" s="9">
        <v>127</v>
      </c>
      <c r="F63" s="9">
        <v>288</v>
      </c>
      <c r="G63" s="9">
        <v>377</v>
      </c>
      <c r="H63" s="9">
        <v>6</v>
      </c>
      <c r="I63" s="10">
        <v>19.610199999999999</v>
      </c>
      <c r="J63" s="10">
        <v>64.9208</v>
      </c>
      <c r="K63" s="10">
        <v>15.4689</v>
      </c>
      <c r="L63" s="10">
        <v>55.902799999999999</v>
      </c>
      <c r="M63" s="11">
        <v>0.78879999999999995</v>
      </c>
      <c r="N63" s="8" t="str">
        <f>IF(B63&gt;='00_口径与参数'!$B$5,"高覆盖量","低覆盖量")</f>
        <v>低覆盖量</v>
      </c>
      <c r="O63" s="8" t="str">
        <f>IF(M63&gt;='00_口径与参数'!$B$6,"高比值","低比值")</f>
        <v>低比值</v>
      </c>
      <c r="P63" s="8" t="str">
        <f t="shared" si="2"/>
        <v>常规观察</v>
      </c>
      <c r="Q63" s="8" t="str">
        <f t="shared" si="3"/>
        <v>常规观察</v>
      </c>
    </row>
    <row r="64" spans="1:17">
      <c r="A64" s="8" t="s">
        <v>90</v>
      </c>
      <c r="B64" s="9">
        <v>807</v>
      </c>
      <c r="C64" s="9">
        <v>131</v>
      </c>
      <c r="D64" s="9">
        <v>447</v>
      </c>
      <c r="E64" s="9">
        <v>229</v>
      </c>
      <c r="F64" s="9">
        <v>360</v>
      </c>
      <c r="G64" s="9">
        <v>415</v>
      </c>
      <c r="H64" s="9">
        <v>90</v>
      </c>
      <c r="I64" s="10">
        <v>16.233000000000001</v>
      </c>
      <c r="J64" s="10">
        <v>55.390300000000003</v>
      </c>
      <c r="K64" s="10">
        <v>28.3767</v>
      </c>
      <c r="L64" s="10">
        <v>36.3889</v>
      </c>
      <c r="M64" s="11">
        <v>1.7481</v>
      </c>
      <c r="N64" s="8" t="str">
        <f>IF(B64&gt;='00_口径与参数'!$B$5,"高覆盖量","低覆盖量")</f>
        <v>低覆盖量</v>
      </c>
      <c r="O64" s="8" t="str">
        <f>IF(M64&gt;='00_口径与参数'!$B$6,"高比值","低比值")</f>
        <v>高比值</v>
      </c>
      <c r="P64" s="8" t="str">
        <f t="shared" si="2"/>
        <v>监控并补样本</v>
      </c>
      <c r="Q64" s="8" t="str">
        <f t="shared" si="3"/>
        <v>补样本后再判断</v>
      </c>
    </row>
    <row r="65" spans="1:17">
      <c r="A65" s="8" t="s">
        <v>91</v>
      </c>
      <c r="B65" s="9">
        <v>771</v>
      </c>
      <c r="C65" s="9">
        <v>122</v>
      </c>
      <c r="D65" s="9">
        <v>521</v>
      </c>
      <c r="E65" s="9">
        <v>128</v>
      </c>
      <c r="F65" s="9">
        <v>250</v>
      </c>
      <c r="G65" s="9">
        <v>570</v>
      </c>
      <c r="H65" s="9">
        <v>29</v>
      </c>
      <c r="I65" s="10">
        <v>15.823600000000001</v>
      </c>
      <c r="J65" s="10">
        <v>67.574600000000004</v>
      </c>
      <c r="K65" s="10">
        <v>16.601800000000001</v>
      </c>
      <c r="L65" s="10">
        <v>48.8</v>
      </c>
      <c r="M65" s="11">
        <v>1.0491999999999999</v>
      </c>
      <c r="N65" s="8" t="str">
        <f>IF(B65&gt;='00_口径与参数'!$B$5,"高覆盖量","低覆盖量")</f>
        <v>低覆盖量</v>
      </c>
      <c r="O65" s="8" t="str">
        <f>IF(M65&gt;='00_口径与参数'!$B$6,"高比值","低比值")</f>
        <v>低比值</v>
      </c>
      <c r="P65" s="8" t="str">
        <f t="shared" si="2"/>
        <v>常规观察</v>
      </c>
      <c r="Q65" s="8" t="str">
        <f t="shared" si="3"/>
        <v>常规观察</v>
      </c>
    </row>
    <row r="66" spans="1:17">
      <c r="A66" s="8" t="s">
        <v>92</v>
      </c>
      <c r="B66" s="9">
        <v>721</v>
      </c>
      <c r="C66" s="9">
        <v>105</v>
      </c>
      <c r="D66" s="9">
        <v>436</v>
      </c>
      <c r="E66" s="9">
        <v>180</v>
      </c>
      <c r="F66" s="9">
        <v>285</v>
      </c>
      <c r="G66" s="9">
        <v>420</v>
      </c>
      <c r="H66" s="9">
        <v>130</v>
      </c>
      <c r="I66" s="10">
        <v>14.5631</v>
      </c>
      <c r="J66" s="10">
        <v>60.471600000000002</v>
      </c>
      <c r="K66" s="10">
        <v>24.965299999999999</v>
      </c>
      <c r="L66" s="10">
        <v>36.842100000000002</v>
      </c>
      <c r="M66" s="11">
        <v>1.7142999999999999</v>
      </c>
      <c r="N66" s="8" t="str">
        <f>IF(B66&gt;='00_口径与参数'!$B$5,"高覆盖量","低覆盖量")</f>
        <v>低覆盖量</v>
      </c>
      <c r="O66" s="8" t="str">
        <f>IF(M66&gt;='00_口径与参数'!$B$6,"高比值","低比值")</f>
        <v>高比值</v>
      </c>
      <c r="P66" s="8" t="str">
        <f t="shared" si="2"/>
        <v>监控并补样本</v>
      </c>
      <c r="Q66" s="8" t="str">
        <f t="shared" si="3"/>
        <v>补样本后再判断</v>
      </c>
    </row>
    <row r="67" spans="1:17">
      <c r="A67" s="8" t="s">
        <v>93</v>
      </c>
      <c r="B67" s="9">
        <v>678</v>
      </c>
      <c r="C67" s="9">
        <v>113</v>
      </c>
      <c r="D67" s="9">
        <v>442</v>
      </c>
      <c r="E67" s="9">
        <v>123</v>
      </c>
      <c r="F67" s="9">
        <v>236</v>
      </c>
      <c r="G67" s="9">
        <v>564</v>
      </c>
      <c r="H67" s="9">
        <v>21</v>
      </c>
      <c r="I67" s="10">
        <v>16.666699999999999</v>
      </c>
      <c r="J67" s="10">
        <v>65.191699999999997</v>
      </c>
      <c r="K67" s="10">
        <v>18.1416</v>
      </c>
      <c r="L67" s="10">
        <v>47.881399999999999</v>
      </c>
      <c r="M67" s="11">
        <v>1.0885</v>
      </c>
      <c r="N67" s="8" t="str">
        <f>IF(B67&gt;='00_口径与参数'!$B$5,"高覆盖量","低覆盖量")</f>
        <v>低覆盖量</v>
      </c>
      <c r="O67" s="8" t="str">
        <f>IF(M67&gt;='00_口径与参数'!$B$6,"高比值","低比值")</f>
        <v>低比值</v>
      </c>
      <c r="P67" s="8" t="str">
        <f t="shared" ref="P67:P98" si="4">IF(AND(N67="高覆盖量",O67="高比值"),"优先核查",IF(N67="高覆盖量","规模优势/维护",IF(O67="高比值","监控并补样本","常规观察")))</f>
        <v>常规观察</v>
      </c>
      <c r="Q67" s="8" t="str">
        <f t="shared" ref="Q67:Q98" si="5">IF(P67="优先核查","拆分至SKU并核查库存/费用/配送/结账",IF(P67="监控并补样本","补样本后再判断",IF(P67="规模优势/维护","维持并监控异常","常规观察")))</f>
        <v>常规观察</v>
      </c>
    </row>
    <row r="68" spans="1:17">
      <c r="A68" s="8" t="s">
        <v>94</v>
      </c>
      <c r="B68" s="9">
        <v>649</v>
      </c>
      <c r="C68" s="9">
        <v>132</v>
      </c>
      <c r="D68" s="9">
        <v>397</v>
      </c>
      <c r="E68" s="9">
        <v>120</v>
      </c>
      <c r="F68" s="9">
        <v>252</v>
      </c>
      <c r="G68" s="9">
        <v>236</v>
      </c>
      <c r="H68" s="9">
        <v>224</v>
      </c>
      <c r="I68" s="10">
        <v>20.338999999999999</v>
      </c>
      <c r="J68" s="10">
        <v>61.170999999999999</v>
      </c>
      <c r="K68" s="10">
        <v>18.489999999999998</v>
      </c>
      <c r="L68" s="10">
        <v>52.381</v>
      </c>
      <c r="M68" s="11">
        <v>0.90910000000000002</v>
      </c>
      <c r="N68" s="8" t="str">
        <f>IF(B68&gt;='00_口径与参数'!$B$5,"高覆盖量","低覆盖量")</f>
        <v>低覆盖量</v>
      </c>
      <c r="O68" s="8" t="str">
        <f>IF(M68&gt;='00_口径与参数'!$B$6,"高比值","低比值")</f>
        <v>低比值</v>
      </c>
      <c r="P68" s="8" t="str">
        <f t="shared" si="4"/>
        <v>常规观察</v>
      </c>
      <c r="Q68" s="8" t="str">
        <f t="shared" si="5"/>
        <v>常规观察</v>
      </c>
    </row>
    <row r="69" spans="1:17">
      <c r="A69" s="8" t="s">
        <v>95</v>
      </c>
      <c r="B69" s="9">
        <v>624</v>
      </c>
      <c r="C69" s="9">
        <v>140</v>
      </c>
      <c r="D69" s="9">
        <v>369</v>
      </c>
      <c r="E69" s="9">
        <v>115</v>
      </c>
      <c r="F69" s="9">
        <v>255</v>
      </c>
      <c r="G69" s="9">
        <v>320</v>
      </c>
      <c r="H69" s="9">
        <v>25</v>
      </c>
      <c r="I69" s="10">
        <v>22.4359</v>
      </c>
      <c r="J69" s="10">
        <v>59.134599999999999</v>
      </c>
      <c r="K69" s="10">
        <v>18.429500000000001</v>
      </c>
      <c r="L69" s="10">
        <v>54.902000000000001</v>
      </c>
      <c r="M69" s="11">
        <v>0.82140000000000002</v>
      </c>
      <c r="N69" s="8" t="str">
        <f>IF(B69&gt;='00_口径与参数'!$B$5,"高覆盖量","低覆盖量")</f>
        <v>低覆盖量</v>
      </c>
      <c r="O69" s="8" t="str">
        <f>IF(M69&gt;='00_口径与参数'!$B$6,"高比值","低比值")</f>
        <v>低比值</v>
      </c>
      <c r="P69" s="8" t="str">
        <f t="shared" si="4"/>
        <v>常规观察</v>
      </c>
      <c r="Q69" s="8" t="str">
        <f t="shared" si="5"/>
        <v>常规观察</v>
      </c>
    </row>
    <row r="70" spans="1:17">
      <c r="A70" s="8" t="s">
        <v>96</v>
      </c>
      <c r="B70" s="9">
        <v>600</v>
      </c>
      <c r="C70" s="9">
        <v>88</v>
      </c>
      <c r="D70" s="9">
        <v>381</v>
      </c>
      <c r="E70" s="9">
        <v>131</v>
      </c>
      <c r="F70" s="9">
        <v>219</v>
      </c>
      <c r="G70" s="9">
        <v>381</v>
      </c>
      <c r="H70" s="9">
        <v>43</v>
      </c>
      <c r="I70" s="10">
        <v>14.666700000000001</v>
      </c>
      <c r="J70" s="10">
        <v>63.5</v>
      </c>
      <c r="K70" s="10">
        <v>21.833300000000001</v>
      </c>
      <c r="L70" s="10">
        <v>40.182600000000001</v>
      </c>
      <c r="M70" s="11">
        <v>1.4885999999999999</v>
      </c>
      <c r="N70" s="8" t="str">
        <f>IF(B70&gt;='00_口径与参数'!$B$5,"高覆盖量","低覆盖量")</f>
        <v>低覆盖量</v>
      </c>
      <c r="O70" s="8" t="str">
        <f>IF(M70&gt;='00_口径与参数'!$B$6,"高比值","低比值")</f>
        <v>低比值</v>
      </c>
      <c r="P70" s="8" t="str">
        <f t="shared" si="4"/>
        <v>常规观察</v>
      </c>
      <c r="Q70" s="8" t="str">
        <f t="shared" si="5"/>
        <v>常规观察</v>
      </c>
    </row>
    <row r="71" spans="1:17">
      <c r="A71" s="8" t="s">
        <v>97</v>
      </c>
      <c r="B71" s="9">
        <v>566</v>
      </c>
      <c r="C71" s="9">
        <v>95</v>
      </c>
      <c r="D71" s="9">
        <v>355</v>
      </c>
      <c r="E71" s="9">
        <v>116</v>
      </c>
      <c r="F71" s="9">
        <v>211</v>
      </c>
      <c r="G71" s="9">
        <v>462</v>
      </c>
      <c r="H71" s="9">
        <v>19</v>
      </c>
      <c r="I71" s="10">
        <v>16.784500000000001</v>
      </c>
      <c r="J71" s="10">
        <v>62.720799999999997</v>
      </c>
      <c r="K71" s="10">
        <v>20.494700000000002</v>
      </c>
      <c r="L71" s="10">
        <v>45.023699999999998</v>
      </c>
      <c r="M71" s="11">
        <v>1.2211000000000001</v>
      </c>
      <c r="N71" s="8" t="str">
        <f>IF(B71&gt;='00_口径与参数'!$B$5,"高覆盖量","低覆盖量")</f>
        <v>低覆盖量</v>
      </c>
      <c r="O71" s="8" t="str">
        <f>IF(M71&gt;='00_口径与参数'!$B$6,"高比值","低比值")</f>
        <v>低比值</v>
      </c>
      <c r="P71" s="8" t="str">
        <f t="shared" si="4"/>
        <v>常规观察</v>
      </c>
      <c r="Q71" s="8" t="str">
        <f t="shared" si="5"/>
        <v>常规观察</v>
      </c>
    </row>
    <row r="72" spans="1:17">
      <c r="A72" s="8" t="s">
        <v>98</v>
      </c>
      <c r="B72" s="9">
        <v>561</v>
      </c>
      <c r="C72" s="9">
        <v>68</v>
      </c>
      <c r="D72" s="9">
        <v>386</v>
      </c>
      <c r="E72" s="9">
        <v>107</v>
      </c>
      <c r="F72" s="9">
        <v>175</v>
      </c>
      <c r="G72" s="9">
        <v>444</v>
      </c>
      <c r="H72" s="9">
        <v>16</v>
      </c>
      <c r="I72" s="10">
        <v>12.1212</v>
      </c>
      <c r="J72" s="10">
        <v>68.805700000000002</v>
      </c>
      <c r="K72" s="10">
        <v>19.0731</v>
      </c>
      <c r="L72" s="10">
        <v>38.857100000000003</v>
      </c>
      <c r="M72" s="11">
        <v>1.5734999999999999</v>
      </c>
      <c r="N72" s="8" t="str">
        <f>IF(B72&gt;='00_口径与参数'!$B$5,"高覆盖量","低覆盖量")</f>
        <v>低覆盖量</v>
      </c>
      <c r="O72" s="8" t="str">
        <f>IF(M72&gt;='00_口径与参数'!$B$6,"高比值","低比值")</f>
        <v>高比值</v>
      </c>
      <c r="P72" s="8" t="str">
        <f t="shared" si="4"/>
        <v>监控并补样本</v>
      </c>
      <c r="Q72" s="8" t="str">
        <f t="shared" si="5"/>
        <v>补样本后再判断</v>
      </c>
    </row>
    <row r="73" spans="1:17">
      <c r="A73" s="8" t="s">
        <v>99</v>
      </c>
      <c r="B73" s="9">
        <v>551</v>
      </c>
      <c r="C73" s="9">
        <v>114</v>
      </c>
      <c r="D73" s="9">
        <v>354</v>
      </c>
      <c r="E73" s="9">
        <v>83</v>
      </c>
      <c r="F73" s="9">
        <v>197</v>
      </c>
      <c r="G73" s="9">
        <v>300</v>
      </c>
      <c r="H73" s="9">
        <v>28</v>
      </c>
      <c r="I73" s="10">
        <v>20.689699999999998</v>
      </c>
      <c r="J73" s="10">
        <v>64.246799999999993</v>
      </c>
      <c r="K73" s="10">
        <v>15.063499999999999</v>
      </c>
      <c r="L73" s="10">
        <v>57.868000000000002</v>
      </c>
      <c r="M73" s="11">
        <v>0.72809999999999997</v>
      </c>
      <c r="N73" s="8" t="str">
        <f>IF(B73&gt;='00_口径与参数'!$B$5,"高覆盖量","低覆盖量")</f>
        <v>低覆盖量</v>
      </c>
      <c r="O73" s="8" t="str">
        <f>IF(M73&gt;='00_口径与参数'!$B$6,"高比值","低比值")</f>
        <v>低比值</v>
      </c>
      <c r="P73" s="8" t="str">
        <f t="shared" si="4"/>
        <v>常规观察</v>
      </c>
      <c r="Q73" s="8" t="str">
        <f t="shared" si="5"/>
        <v>常规观察</v>
      </c>
    </row>
    <row r="74" spans="1:17">
      <c r="A74" s="8" t="s">
        <v>100</v>
      </c>
      <c r="B74" s="9">
        <v>540</v>
      </c>
      <c r="C74" s="9">
        <v>73</v>
      </c>
      <c r="D74" s="9">
        <v>355</v>
      </c>
      <c r="E74" s="9">
        <v>112</v>
      </c>
      <c r="F74" s="9">
        <v>185</v>
      </c>
      <c r="G74" s="9">
        <v>334</v>
      </c>
      <c r="H74" s="9">
        <v>38</v>
      </c>
      <c r="I74" s="10">
        <v>13.5185</v>
      </c>
      <c r="J74" s="10">
        <v>65.740700000000004</v>
      </c>
      <c r="K74" s="10">
        <v>20.7407</v>
      </c>
      <c r="L74" s="10">
        <v>39.459499999999998</v>
      </c>
      <c r="M74" s="11">
        <v>1.5342</v>
      </c>
      <c r="N74" s="8" t="str">
        <f>IF(B74&gt;='00_口径与参数'!$B$5,"高覆盖量","低覆盖量")</f>
        <v>低覆盖量</v>
      </c>
      <c r="O74" s="8" t="str">
        <f>IF(M74&gt;='00_口径与参数'!$B$6,"高比值","低比值")</f>
        <v>高比值</v>
      </c>
      <c r="P74" s="8" t="str">
        <f t="shared" si="4"/>
        <v>监控并补样本</v>
      </c>
      <c r="Q74" s="8" t="str">
        <f t="shared" si="5"/>
        <v>补样本后再判断</v>
      </c>
    </row>
    <row r="75" spans="1:17">
      <c r="A75" s="8" t="s">
        <v>101</v>
      </c>
      <c r="B75" s="9">
        <v>513</v>
      </c>
      <c r="C75" s="9">
        <v>64</v>
      </c>
      <c r="D75" s="9">
        <v>336</v>
      </c>
      <c r="E75" s="9">
        <v>113</v>
      </c>
      <c r="F75" s="9">
        <v>177</v>
      </c>
      <c r="G75" s="9">
        <v>380</v>
      </c>
      <c r="H75" s="9">
        <v>33</v>
      </c>
      <c r="I75" s="10">
        <v>12.4756</v>
      </c>
      <c r="J75" s="10">
        <v>65.497100000000003</v>
      </c>
      <c r="K75" s="10">
        <v>22.0273</v>
      </c>
      <c r="L75" s="10">
        <v>36.158200000000001</v>
      </c>
      <c r="M75" s="11">
        <v>1.7656000000000001</v>
      </c>
      <c r="N75" s="8" t="str">
        <f>IF(B75&gt;='00_口径与参数'!$B$5,"高覆盖量","低覆盖量")</f>
        <v>低覆盖量</v>
      </c>
      <c r="O75" s="8" t="str">
        <f>IF(M75&gt;='00_口径与参数'!$B$6,"高比值","低比值")</f>
        <v>高比值</v>
      </c>
      <c r="P75" s="8" t="str">
        <f t="shared" si="4"/>
        <v>监控并补样本</v>
      </c>
      <c r="Q75" s="8" t="str">
        <f t="shared" si="5"/>
        <v>补样本后再判断</v>
      </c>
    </row>
    <row r="76" spans="1:17">
      <c r="A76" s="8" t="s">
        <v>102</v>
      </c>
      <c r="B76" s="9">
        <v>488</v>
      </c>
      <c r="C76" s="9">
        <v>88</v>
      </c>
      <c r="D76" s="9">
        <v>314</v>
      </c>
      <c r="E76" s="9">
        <v>86</v>
      </c>
      <c r="F76" s="9">
        <v>174</v>
      </c>
      <c r="G76" s="9">
        <v>245</v>
      </c>
      <c r="H76" s="9">
        <v>168</v>
      </c>
      <c r="I76" s="10">
        <v>18.032800000000002</v>
      </c>
      <c r="J76" s="10">
        <v>64.344300000000004</v>
      </c>
      <c r="K76" s="10">
        <v>17.623000000000001</v>
      </c>
      <c r="L76" s="10">
        <v>50.5747</v>
      </c>
      <c r="M76" s="11">
        <v>0.97729999999999995</v>
      </c>
      <c r="N76" s="8" t="str">
        <f>IF(B76&gt;='00_口径与参数'!$B$5,"高覆盖量","低覆盖量")</f>
        <v>低覆盖量</v>
      </c>
      <c r="O76" s="8" t="str">
        <f>IF(M76&gt;='00_口径与参数'!$B$6,"高比值","低比值")</f>
        <v>低比值</v>
      </c>
      <c r="P76" s="8" t="str">
        <f t="shared" si="4"/>
        <v>常规观察</v>
      </c>
      <c r="Q76" s="8" t="str">
        <f t="shared" si="5"/>
        <v>常规观察</v>
      </c>
    </row>
    <row r="77" spans="1:17">
      <c r="A77" s="8" t="s">
        <v>103</v>
      </c>
      <c r="B77" s="9">
        <v>484</v>
      </c>
      <c r="C77" s="9">
        <v>69</v>
      </c>
      <c r="D77" s="9">
        <v>319</v>
      </c>
      <c r="E77" s="9">
        <v>96</v>
      </c>
      <c r="F77" s="9">
        <v>165</v>
      </c>
      <c r="G77" s="9">
        <v>361</v>
      </c>
      <c r="H77" s="9">
        <v>15</v>
      </c>
      <c r="I77" s="10">
        <v>14.2562</v>
      </c>
      <c r="J77" s="10">
        <v>65.909099999999995</v>
      </c>
      <c r="K77" s="10">
        <v>19.834700000000002</v>
      </c>
      <c r="L77" s="10">
        <v>41.818199999999997</v>
      </c>
      <c r="M77" s="11">
        <v>1.3913</v>
      </c>
      <c r="N77" s="8" t="str">
        <f>IF(B77&gt;='00_口径与参数'!$B$5,"高覆盖量","低覆盖量")</f>
        <v>低覆盖量</v>
      </c>
      <c r="O77" s="8" t="str">
        <f>IF(M77&gt;='00_口径与参数'!$B$6,"高比值","低比值")</f>
        <v>低比值</v>
      </c>
      <c r="P77" s="8" t="str">
        <f t="shared" si="4"/>
        <v>常规观察</v>
      </c>
      <c r="Q77" s="8" t="str">
        <f t="shared" si="5"/>
        <v>常规观察</v>
      </c>
    </row>
    <row r="78" spans="1:17">
      <c r="A78" s="8" t="s">
        <v>104</v>
      </c>
      <c r="B78" s="9">
        <v>481</v>
      </c>
      <c r="C78" s="9">
        <v>74</v>
      </c>
      <c r="D78" s="9">
        <v>322</v>
      </c>
      <c r="E78" s="9">
        <v>85</v>
      </c>
      <c r="F78" s="9">
        <v>159</v>
      </c>
      <c r="G78" s="9">
        <v>239</v>
      </c>
      <c r="H78" s="9">
        <v>17</v>
      </c>
      <c r="I78" s="10">
        <v>15.384600000000001</v>
      </c>
      <c r="J78" s="10">
        <v>66.943899999999999</v>
      </c>
      <c r="K78" s="10">
        <v>17.671500000000002</v>
      </c>
      <c r="L78" s="10">
        <v>46.540900000000001</v>
      </c>
      <c r="M78" s="11">
        <v>1.1486000000000001</v>
      </c>
      <c r="N78" s="8" t="str">
        <f>IF(B78&gt;='00_口径与参数'!$B$5,"高覆盖量","低覆盖量")</f>
        <v>低覆盖量</v>
      </c>
      <c r="O78" s="8" t="str">
        <f>IF(M78&gt;='00_口径与参数'!$B$6,"高比值","低比值")</f>
        <v>低比值</v>
      </c>
      <c r="P78" s="8" t="str">
        <f t="shared" si="4"/>
        <v>常规观察</v>
      </c>
      <c r="Q78" s="8" t="str">
        <f t="shared" si="5"/>
        <v>常规观察</v>
      </c>
    </row>
    <row r="79" spans="1:17">
      <c r="A79" s="8" t="s">
        <v>105</v>
      </c>
      <c r="B79" s="9">
        <v>471</v>
      </c>
      <c r="C79" s="9">
        <v>71</v>
      </c>
      <c r="D79" s="9">
        <v>298</v>
      </c>
      <c r="E79" s="9">
        <v>102</v>
      </c>
      <c r="F79" s="9">
        <v>173</v>
      </c>
      <c r="G79" s="9">
        <v>195</v>
      </c>
      <c r="H79" s="9">
        <v>57</v>
      </c>
      <c r="I79" s="10">
        <v>15.074299999999999</v>
      </c>
      <c r="J79" s="10">
        <v>63.269599999999997</v>
      </c>
      <c r="K79" s="10">
        <v>21.656099999999999</v>
      </c>
      <c r="L79" s="10">
        <v>41.040500000000002</v>
      </c>
      <c r="M79" s="11">
        <v>1.4366000000000001</v>
      </c>
      <c r="N79" s="8" t="str">
        <f>IF(B79&gt;='00_口径与参数'!$B$5,"高覆盖量","低覆盖量")</f>
        <v>低覆盖量</v>
      </c>
      <c r="O79" s="8" t="str">
        <f>IF(M79&gt;='00_口径与参数'!$B$6,"高比值","低比值")</f>
        <v>低比值</v>
      </c>
      <c r="P79" s="8" t="str">
        <f t="shared" si="4"/>
        <v>常规观察</v>
      </c>
      <c r="Q79" s="8" t="str">
        <f t="shared" si="5"/>
        <v>常规观察</v>
      </c>
    </row>
    <row r="80" spans="1:17">
      <c r="A80" s="8" t="s">
        <v>106</v>
      </c>
      <c r="B80" s="9">
        <v>471</v>
      </c>
      <c r="C80" s="9">
        <v>114</v>
      </c>
      <c r="D80" s="9">
        <v>295</v>
      </c>
      <c r="E80" s="9">
        <v>62</v>
      </c>
      <c r="F80" s="9">
        <v>176</v>
      </c>
      <c r="G80" s="9">
        <v>318</v>
      </c>
      <c r="H80" s="9">
        <v>14</v>
      </c>
      <c r="I80" s="10">
        <v>24.203800000000001</v>
      </c>
      <c r="J80" s="10">
        <v>62.6327</v>
      </c>
      <c r="K80" s="10">
        <v>13.163500000000001</v>
      </c>
      <c r="L80" s="10">
        <v>64.7727</v>
      </c>
      <c r="M80" s="11">
        <v>0.54390000000000005</v>
      </c>
      <c r="N80" s="8" t="str">
        <f>IF(B80&gt;='00_口径与参数'!$B$5,"高覆盖量","低覆盖量")</f>
        <v>低覆盖量</v>
      </c>
      <c r="O80" s="8" t="str">
        <f>IF(M80&gt;='00_口径与参数'!$B$6,"高比值","低比值")</f>
        <v>低比值</v>
      </c>
      <c r="P80" s="8" t="str">
        <f t="shared" si="4"/>
        <v>常规观察</v>
      </c>
      <c r="Q80" s="8" t="str">
        <f t="shared" si="5"/>
        <v>常规观察</v>
      </c>
    </row>
    <row r="81" spans="1:17">
      <c r="A81" s="8" t="s">
        <v>107</v>
      </c>
      <c r="B81" s="9">
        <v>465</v>
      </c>
      <c r="C81" s="9">
        <v>52</v>
      </c>
      <c r="D81" s="9">
        <v>294</v>
      </c>
      <c r="E81" s="9">
        <v>119</v>
      </c>
      <c r="F81" s="9">
        <v>171</v>
      </c>
      <c r="G81" s="9">
        <v>360</v>
      </c>
      <c r="H81" s="9">
        <v>34</v>
      </c>
      <c r="I81" s="10">
        <v>11.1828</v>
      </c>
      <c r="J81" s="10">
        <v>63.2258</v>
      </c>
      <c r="K81" s="10">
        <v>25.5914</v>
      </c>
      <c r="L81" s="10">
        <v>30.409400000000002</v>
      </c>
      <c r="M81" s="11">
        <v>2.2885</v>
      </c>
      <c r="N81" s="8" t="str">
        <f>IF(B81&gt;='00_口径与参数'!$B$5,"高覆盖量","低覆盖量")</f>
        <v>低覆盖量</v>
      </c>
      <c r="O81" s="8" t="str">
        <f>IF(M81&gt;='00_口径与参数'!$B$6,"高比值","低比值")</f>
        <v>高比值</v>
      </c>
      <c r="P81" s="8" t="str">
        <f t="shared" si="4"/>
        <v>监控并补样本</v>
      </c>
      <c r="Q81" s="8" t="str">
        <f t="shared" si="5"/>
        <v>补样本后再判断</v>
      </c>
    </row>
    <row r="82" spans="1:17">
      <c r="A82" s="8" t="s">
        <v>108</v>
      </c>
      <c r="B82" s="9">
        <v>444</v>
      </c>
      <c r="C82" s="9">
        <v>109</v>
      </c>
      <c r="D82" s="9">
        <v>261</v>
      </c>
      <c r="E82" s="9">
        <v>74</v>
      </c>
      <c r="F82" s="9">
        <v>183</v>
      </c>
      <c r="G82" s="9">
        <v>171</v>
      </c>
      <c r="H82" s="9">
        <v>10</v>
      </c>
      <c r="I82" s="10">
        <v>24.549499999999998</v>
      </c>
      <c r="J82" s="10">
        <v>58.783799999999999</v>
      </c>
      <c r="K82" s="10">
        <v>16.666699999999999</v>
      </c>
      <c r="L82" s="10">
        <v>59.562800000000003</v>
      </c>
      <c r="M82" s="11">
        <v>0.67889999999999995</v>
      </c>
      <c r="N82" s="8" t="str">
        <f>IF(B82&gt;='00_口径与参数'!$B$5,"高覆盖量","低覆盖量")</f>
        <v>低覆盖量</v>
      </c>
      <c r="O82" s="8" t="str">
        <f>IF(M82&gt;='00_口径与参数'!$B$6,"高比值","低比值")</f>
        <v>低比值</v>
      </c>
      <c r="P82" s="8" t="str">
        <f t="shared" si="4"/>
        <v>常规观察</v>
      </c>
      <c r="Q82" s="8" t="str">
        <f t="shared" si="5"/>
        <v>常规观察</v>
      </c>
    </row>
    <row r="83" spans="1:17">
      <c r="A83" s="8" t="s">
        <v>109</v>
      </c>
      <c r="B83" s="9">
        <v>428</v>
      </c>
      <c r="C83" s="9">
        <v>70</v>
      </c>
      <c r="D83" s="9">
        <v>272</v>
      </c>
      <c r="E83" s="9">
        <v>86</v>
      </c>
      <c r="F83" s="9">
        <v>156</v>
      </c>
      <c r="G83" s="9">
        <v>198</v>
      </c>
      <c r="H83" s="9">
        <v>51</v>
      </c>
      <c r="I83" s="10">
        <v>16.3551</v>
      </c>
      <c r="J83" s="10">
        <v>63.551400000000001</v>
      </c>
      <c r="K83" s="10">
        <v>20.093499999999999</v>
      </c>
      <c r="L83" s="10">
        <v>44.8718</v>
      </c>
      <c r="M83" s="11">
        <v>1.2285999999999999</v>
      </c>
      <c r="N83" s="8" t="str">
        <f>IF(B83&gt;='00_口径与参数'!$B$5,"高覆盖量","低覆盖量")</f>
        <v>低覆盖量</v>
      </c>
      <c r="O83" s="8" t="str">
        <f>IF(M83&gt;='00_口径与参数'!$B$6,"高比值","低比值")</f>
        <v>低比值</v>
      </c>
      <c r="P83" s="8" t="str">
        <f t="shared" si="4"/>
        <v>常规观察</v>
      </c>
      <c r="Q83" s="8" t="str">
        <f t="shared" si="5"/>
        <v>常规观察</v>
      </c>
    </row>
    <row r="84" spans="1:17">
      <c r="A84" s="8" t="s">
        <v>110</v>
      </c>
      <c r="B84" s="9">
        <v>416</v>
      </c>
      <c r="C84" s="9">
        <v>49</v>
      </c>
      <c r="D84" s="9">
        <v>299</v>
      </c>
      <c r="E84" s="9">
        <v>68</v>
      </c>
      <c r="F84" s="9">
        <v>117</v>
      </c>
      <c r="G84" s="9">
        <v>259</v>
      </c>
      <c r="H84" s="9">
        <v>131</v>
      </c>
      <c r="I84" s="10">
        <v>11.7788</v>
      </c>
      <c r="J84" s="10">
        <v>71.875</v>
      </c>
      <c r="K84" s="10">
        <v>16.3462</v>
      </c>
      <c r="L84" s="10">
        <v>41.880299999999998</v>
      </c>
      <c r="M84" s="11">
        <v>1.3877999999999999</v>
      </c>
      <c r="N84" s="8" t="str">
        <f>IF(B84&gt;='00_口径与参数'!$B$5,"高覆盖量","低覆盖量")</f>
        <v>低覆盖量</v>
      </c>
      <c r="O84" s="8" t="str">
        <f>IF(M84&gt;='00_口径与参数'!$B$6,"高比值","低比值")</f>
        <v>低比值</v>
      </c>
      <c r="P84" s="8" t="str">
        <f t="shared" si="4"/>
        <v>常规观察</v>
      </c>
      <c r="Q84" s="8" t="str">
        <f t="shared" si="5"/>
        <v>常规观察</v>
      </c>
    </row>
    <row r="85" spans="1:17">
      <c r="A85" s="8" t="s">
        <v>111</v>
      </c>
      <c r="B85" s="9">
        <v>404</v>
      </c>
      <c r="C85" s="9">
        <v>69</v>
      </c>
      <c r="D85" s="9">
        <v>248</v>
      </c>
      <c r="E85" s="9">
        <v>87</v>
      </c>
      <c r="F85" s="9">
        <v>156</v>
      </c>
      <c r="G85" s="9">
        <v>291</v>
      </c>
      <c r="H85" s="9">
        <v>72</v>
      </c>
      <c r="I85" s="10">
        <v>17.0792</v>
      </c>
      <c r="J85" s="10">
        <v>61.386099999999999</v>
      </c>
      <c r="K85" s="10">
        <v>21.534700000000001</v>
      </c>
      <c r="L85" s="10">
        <v>44.230800000000002</v>
      </c>
      <c r="M85" s="11">
        <v>1.2608999999999999</v>
      </c>
      <c r="N85" s="8" t="str">
        <f>IF(B85&gt;='00_口径与参数'!$B$5,"高覆盖量","低覆盖量")</f>
        <v>低覆盖量</v>
      </c>
      <c r="O85" s="8" t="str">
        <f>IF(M85&gt;='00_口径与参数'!$B$6,"高比值","低比值")</f>
        <v>低比值</v>
      </c>
      <c r="P85" s="8" t="str">
        <f t="shared" si="4"/>
        <v>常规观察</v>
      </c>
      <c r="Q85" s="8" t="str">
        <f t="shared" si="5"/>
        <v>常规观察</v>
      </c>
    </row>
    <row r="86" spans="1:17">
      <c r="A86" s="8" t="s">
        <v>112</v>
      </c>
      <c r="B86" s="9">
        <v>393</v>
      </c>
      <c r="C86" s="9">
        <v>84</v>
      </c>
      <c r="D86" s="9">
        <v>247</v>
      </c>
      <c r="E86" s="9">
        <v>62</v>
      </c>
      <c r="F86" s="9">
        <v>146</v>
      </c>
      <c r="G86" s="9">
        <v>276</v>
      </c>
      <c r="H86" s="9">
        <v>12</v>
      </c>
      <c r="I86" s="10">
        <v>21.373999999999999</v>
      </c>
      <c r="J86" s="10">
        <v>62.849899999999998</v>
      </c>
      <c r="K86" s="10">
        <v>15.7761</v>
      </c>
      <c r="L86" s="10">
        <v>57.534199999999998</v>
      </c>
      <c r="M86" s="11">
        <v>0.73809999999999998</v>
      </c>
      <c r="N86" s="8" t="str">
        <f>IF(B86&gt;='00_口径与参数'!$B$5,"高覆盖量","低覆盖量")</f>
        <v>低覆盖量</v>
      </c>
      <c r="O86" s="8" t="str">
        <f>IF(M86&gt;='00_口径与参数'!$B$6,"高比值","低比值")</f>
        <v>低比值</v>
      </c>
      <c r="P86" s="8" t="str">
        <f t="shared" si="4"/>
        <v>常规观察</v>
      </c>
      <c r="Q86" s="8" t="str">
        <f t="shared" si="5"/>
        <v>常规观察</v>
      </c>
    </row>
    <row r="87" spans="1:17">
      <c r="A87" s="8" t="s">
        <v>113</v>
      </c>
      <c r="B87" s="9">
        <v>390</v>
      </c>
      <c r="C87" s="9">
        <v>61</v>
      </c>
      <c r="D87" s="9">
        <v>262</v>
      </c>
      <c r="E87" s="9">
        <v>67</v>
      </c>
      <c r="F87" s="9">
        <v>128</v>
      </c>
      <c r="G87" s="9">
        <v>283</v>
      </c>
      <c r="H87" s="9">
        <v>48</v>
      </c>
      <c r="I87" s="10">
        <v>15.641</v>
      </c>
      <c r="J87" s="10">
        <v>67.179500000000004</v>
      </c>
      <c r="K87" s="10">
        <v>17.179500000000001</v>
      </c>
      <c r="L87" s="10">
        <v>47.656300000000002</v>
      </c>
      <c r="M87" s="11">
        <v>1.0984</v>
      </c>
      <c r="N87" s="8" t="str">
        <f>IF(B87&gt;='00_口径与参数'!$B$5,"高覆盖量","低覆盖量")</f>
        <v>低覆盖量</v>
      </c>
      <c r="O87" s="8" t="str">
        <f>IF(M87&gt;='00_口径与参数'!$B$6,"高比值","低比值")</f>
        <v>低比值</v>
      </c>
      <c r="P87" s="8" t="str">
        <f t="shared" si="4"/>
        <v>常规观察</v>
      </c>
      <c r="Q87" s="8" t="str">
        <f t="shared" si="5"/>
        <v>常规观察</v>
      </c>
    </row>
    <row r="88" spans="1:17">
      <c r="A88" s="8" t="s">
        <v>114</v>
      </c>
      <c r="B88" s="9">
        <v>388</v>
      </c>
      <c r="C88" s="9">
        <v>67</v>
      </c>
      <c r="D88" s="9">
        <v>255</v>
      </c>
      <c r="E88" s="9">
        <v>66</v>
      </c>
      <c r="F88" s="9">
        <v>133</v>
      </c>
      <c r="G88" s="9">
        <v>233</v>
      </c>
      <c r="H88" s="9">
        <v>41</v>
      </c>
      <c r="I88" s="10">
        <v>17.268000000000001</v>
      </c>
      <c r="J88" s="10">
        <v>65.721599999999995</v>
      </c>
      <c r="K88" s="10">
        <v>17.010300000000001</v>
      </c>
      <c r="L88" s="10">
        <v>50.375900000000001</v>
      </c>
      <c r="M88" s="11">
        <v>0.98509999999999998</v>
      </c>
      <c r="N88" s="8" t="str">
        <f>IF(B88&gt;='00_口径与参数'!$B$5,"高覆盖量","低覆盖量")</f>
        <v>低覆盖量</v>
      </c>
      <c r="O88" s="8" t="str">
        <f>IF(M88&gt;='00_口径与参数'!$B$6,"高比值","低比值")</f>
        <v>低比值</v>
      </c>
      <c r="P88" s="8" t="str">
        <f t="shared" si="4"/>
        <v>常规观察</v>
      </c>
      <c r="Q88" s="8" t="str">
        <f t="shared" si="5"/>
        <v>常规观察</v>
      </c>
    </row>
    <row r="89" spans="1:17">
      <c r="A89" s="8" t="s">
        <v>115</v>
      </c>
      <c r="B89" s="9">
        <v>387</v>
      </c>
      <c r="C89" s="9">
        <v>81</v>
      </c>
      <c r="D89" s="9">
        <v>231</v>
      </c>
      <c r="E89" s="9">
        <v>75</v>
      </c>
      <c r="F89" s="9">
        <v>156</v>
      </c>
      <c r="G89" s="9">
        <v>187</v>
      </c>
      <c r="H89" s="9">
        <v>69</v>
      </c>
      <c r="I89" s="10">
        <v>20.930199999999999</v>
      </c>
      <c r="J89" s="10">
        <v>59.689900000000002</v>
      </c>
      <c r="K89" s="10">
        <v>19.379799999999999</v>
      </c>
      <c r="L89" s="10">
        <v>51.923099999999998</v>
      </c>
      <c r="M89" s="11">
        <v>0.92589999999999995</v>
      </c>
      <c r="N89" s="8" t="str">
        <f>IF(B89&gt;='00_口径与参数'!$B$5,"高覆盖量","低覆盖量")</f>
        <v>低覆盖量</v>
      </c>
      <c r="O89" s="8" t="str">
        <f>IF(M89&gt;='00_口径与参数'!$B$6,"高比值","低比值")</f>
        <v>低比值</v>
      </c>
      <c r="P89" s="8" t="str">
        <f t="shared" si="4"/>
        <v>常规观察</v>
      </c>
      <c r="Q89" s="8" t="str">
        <f t="shared" si="5"/>
        <v>常规观察</v>
      </c>
    </row>
    <row r="90" spans="1:17">
      <c r="A90" s="8" t="s">
        <v>116</v>
      </c>
      <c r="B90" s="9">
        <v>383</v>
      </c>
      <c r="C90" s="9">
        <v>55</v>
      </c>
      <c r="D90" s="9">
        <v>226</v>
      </c>
      <c r="E90" s="9">
        <v>102</v>
      </c>
      <c r="F90" s="9">
        <v>157</v>
      </c>
      <c r="G90" s="9">
        <v>204</v>
      </c>
      <c r="H90" s="9">
        <v>155</v>
      </c>
      <c r="I90" s="10">
        <v>14.360300000000001</v>
      </c>
      <c r="J90" s="10">
        <v>59.007800000000003</v>
      </c>
      <c r="K90" s="10">
        <v>26.631900000000002</v>
      </c>
      <c r="L90" s="10">
        <v>35.031799999999997</v>
      </c>
      <c r="M90" s="11">
        <v>1.8545</v>
      </c>
      <c r="N90" s="8" t="str">
        <f>IF(B90&gt;='00_口径与参数'!$B$5,"高覆盖量","低覆盖量")</f>
        <v>低覆盖量</v>
      </c>
      <c r="O90" s="8" t="str">
        <f>IF(M90&gt;='00_口径与参数'!$B$6,"高比值","低比值")</f>
        <v>高比值</v>
      </c>
      <c r="P90" s="8" t="str">
        <f t="shared" si="4"/>
        <v>监控并补样本</v>
      </c>
      <c r="Q90" s="8" t="str">
        <f t="shared" si="5"/>
        <v>补样本后再判断</v>
      </c>
    </row>
    <row r="91" spans="1:17">
      <c r="A91" s="8" t="s">
        <v>117</v>
      </c>
      <c r="B91" s="9">
        <v>370</v>
      </c>
      <c r="C91" s="9">
        <v>57</v>
      </c>
      <c r="D91" s="9">
        <v>254</v>
      </c>
      <c r="E91" s="9">
        <v>59</v>
      </c>
      <c r="F91" s="9">
        <v>116</v>
      </c>
      <c r="G91" s="9">
        <v>309</v>
      </c>
      <c r="H91" s="9">
        <v>6</v>
      </c>
      <c r="I91" s="10">
        <v>15.4054</v>
      </c>
      <c r="J91" s="10">
        <v>68.648600000000002</v>
      </c>
      <c r="K91" s="10">
        <v>15.9459</v>
      </c>
      <c r="L91" s="10">
        <v>49.137900000000002</v>
      </c>
      <c r="M91" s="11">
        <v>1.0350999999999999</v>
      </c>
      <c r="N91" s="8" t="str">
        <f>IF(B91&gt;='00_口径与参数'!$B$5,"高覆盖量","低覆盖量")</f>
        <v>低覆盖量</v>
      </c>
      <c r="O91" s="8" t="str">
        <f>IF(M91&gt;='00_口径与参数'!$B$6,"高比值","低比值")</f>
        <v>低比值</v>
      </c>
      <c r="P91" s="8" t="str">
        <f t="shared" si="4"/>
        <v>常规观察</v>
      </c>
      <c r="Q91" s="8" t="str">
        <f t="shared" si="5"/>
        <v>常规观察</v>
      </c>
    </row>
    <row r="92" spans="1:17">
      <c r="A92" s="8" t="s">
        <v>118</v>
      </c>
      <c r="B92" s="9">
        <v>368</v>
      </c>
      <c r="C92" s="9">
        <v>41</v>
      </c>
      <c r="D92" s="9">
        <v>235</v>
      </c>
      <c r="E92" s="9">
        <v>92</v>
      </c>
      <c r="F92" s="9">
        <v>133</v>
      </c>
      <c r="G92" s="9">
        <v>209</v>
      </c>
      <c r="H92" s="9">
        <v>30</v>
      </c>
      <c r="I92" s="10">
        <v>11.141299999999999</v>
      </c>
      <c r="J92" s="10">
        <v>63.858699999999999</v>
      </c>
      <c r="K92" s="10">
        <v>25</v>
      </c>
      <c r="L92" s="10">
        <v>30.827100000000002</v>
      </c>
      <c r="M92" s="11">
        <v>2.2439</v>
      </c>
      <c r="N92" s="8" t="str">
        <f>IF(B92&gt;='00_口径与参数'!$B$5,"高覆盖量","低覆盖量")</f>
        <v>低覆盖量</v>
      </c>
      <c r="O92" s="8" t="str">
        <f>IF(M92&gt;='00_口径与参数'!$B$6,"高比值","低比值")</f>
        <v>高比值</v>
      </c>
      <c r="P92" s="8" t="str">
        <f t="shared" si="4"/>
        <v>监控并补样本</v>
      </c>
      <c r="Q92" s="8" t="str">
        <f t="shared" si="5"/>
        <v>补样本后再判断</v>
      </c>
    </row>
    <row r="93" spans="1:17">
      <c r="A93" s="8" t="s">
        <v>119</v>
      </c>
      <c r="B93" s="9">
        <v>315</v>
      </c>
      <c r="C93" s="9">
        <v>36</v>
      </c>
      <c r="D93" s="9">
        <v>203</v>
      </c>
      <c r="E93" s="9">
        <v>76</v>
      </c>
      <c r="F93" s="9">
        <v>112</v>
      </c>
      <c r="G93" s="9">
        <v>254</v>
      </c>
      <c r="H93" s="9">
        <v>48</v>
      </c>
      <c r="I93" s="10">
        <v>11.428599999999999</v>
      </c>
      <c r="J93" s="10">
        <v>64.444400000000002</v>
      </c>
      <c r="K93" s="10">
        <v>24.126999999999999</v>
      </c>
      <c r="L93" s="10">
        <v>32.142899999999997</v>
      </c>
      <c r="M93" s="11">
        <v>2.1111</v>
      </c>
      <c r="N93" s="8" t="str">
        <f>IF(B93&gt;='00_口径与参数'!$B$5,"高覆盖量","低覆盖量")</f>
        <v>低覆盖量</v>
      </c>
      <c r="O93" s="8" t="str">
        <f>IF(M93&gt;='00_口径与参数'!$B$6,"高比值","低比值")</f>
        <v>高比值</v>
      </c>
      <c r="P93" s="8" t="str">
        <f t="shared" si="4"/>
        <v>监控并补样本</v>
      </c>
      <c r="Q93" s="8" t="str">
        <f t="shared" si="5"/>
        <v>补样本后再判断</v>
      </c>
    </row>
    <row r="94" spans="1:17">
      <c r="A94" s="8" t="s">
        <v>120</v>
      </c>
      <c r="B94" s="9">
        <v>298</v>
      </c>
      <c r="C94" s="9">
        <v>42</v>
      </c>
      <c r="D94" s="9">
        <v>183</v>
      </c>
      <c r="E94" s="9">
        <v>73</v>
      </c>
      <c r="F94" s="9">
        <v>115</v>
      </c>
      <c r="G94" s="9">
        <v>174</v>
      </c>
      <c r="H94" s="9">
        <v>120</v>
      </c>
      <c r="I94" s="10">
        <v>14.093999999999999</v>
      </c>
      <c r="J94" s="10">
        <v>61.409399999999998</v>
      </c>
      <c r="K94" s="10">
        <v>24.496600000000001</v>
      </c>
      <c r="L94" s="10">
        <v>36.521700000000003</v>
      </c>
      <c r="M94" s="11">
        <v>1.7381</v>
      </c>
      <c r="N94" s="8" t="str">
        <f>IF(B94&gt;='00_口径与参数'!$B$5,"高覆盖量","低覆盖量")</f>
        <v>低覆盖量</v>
      </c>
      <c r="O94" s="8" t="str">
        <f>IF(M94&gt;='00_口径与参数'!$B$6,"高比值","低比值")</f>
        <v>高比值</v>
      </c>
      <c r="P94" s="8" t="str">
        <f t="shared" si="4"/>
        <v>监控并补样本</v>
      </c>
      <c r="Q94" s="8" t="str">
        <f t="shared" si="5"/>
        <v>补样本后再判断</v>
      </c>
    </row>
    <row r="95" spans="1:17">
      <c r="A95" s="8" t="s">
        <v>121</v>
      </c>
      <c r="B95" s="9">
        <v>281</v>
      </c>
      <c r="C95" s="9">
        <v>41</v>
      </c>
      <c r="D95" s="9">
        <v>176</v>
      </c>
      <c r="E95" s="9">
        <v>64</v>
      </c>
      <c r="F95" s="9">
        <v>105</v>
      </c>
      <c r="G95" s="9">
        <v>192</v>
      </c>
      <c r="H95" s="9">
        <v>83</v>
      </c>
      <c r="I95" s="10">
        <v>14.5907</v>
      </c>
      <c r="J95" s="10">
        <v>62.633499999999998</v>
      </c>
      <c r="K95" s="10">
        <v>22.7758</v>
      </c>
      <c r="L95" s="10">
        <v>39.047600000000003</v>
      </c>
      <c r="M95" s="11">
        <v>1.5609999999999999</v>
      </c>
      <c r="N95" s="8" t="str">
        <f>IF(B95&gt;='00_口径与参数'!$B$5,"高覆盖量","低覆盖量")</f>
        <v>低覆盖量</v>
      </c>
      <c r="O95" s="8" t="str">
        <f>IF(M95&gt;='00_口径与参数'!$B$6,"高比值","低比值")</f>
        <v>高比值</v>
      </c>
      <c r="P95" s="8" t="str">
        <f t="shared" si="4"/>
        <v>监控并补样本</v>
      </c>
      <c r="Q95" s="8" t="str">
        <f t="shared" si="5"/>
        <v>补样本后再判断</v>
      </c>
    </row>
    <row r="96" spans="1:17">
      <c r="A96" s="8" t="s">
        <v>122</v>
      </c>
      <c r="B96" s="9">
        <v>280</v>
      </c>
      <c r="C96" s="9">
        <v>60</v>
      </c>
      <c r="D96" s="9">
        <v>159</v>
      </c>
      <c r="E96" s="9">
        <v>61</v>
      </c>
      <c r="F96" s="9">
        <v>121</v>
      </c>
      <c r="G96" s="9">
        <v>208</v>
      </c>
      <c r="H96" s="9">
        <v>5</v>
      </c>
      <c r="I96" s="10">
        <v>21.428599999999999</v>
      </c>
      <c r="J96" s="10">
        <v>56.785699999999999</v>
      </c>
      <c r="K96" s="10">
        <v>21.785699999999999</v>
      </c>
      <c r="L96" s="10">
        <v>49.586799999999997</v>
      </c>
      <c r="M96" s="11">
        <v>1.0166999999999999</v>
      </c>
      <c r="N96" s="8" t="str">
        <f>IF(B96&gt;='00_口径与参数'!$B$5,"高覆盖量","低覆盖量")</f>
        <v>低覆盖量</v>
      </c>
      <c r="O96" s="8" t="str">
        <f>IF(M96&gt;='00_口径与参数'!$B$6,"高比值","低比值")</f>
        <v>低比值</v>
      </c>
      <c r="P96" s="8" t="str">
        <f t="shared" si="4"/>
        <v>常规观察</v>
      </c>
      <c r="Q96" s="8" t="str">
        <f t="shared" si="5"/>
        <v>常规观察</v>
      </c>
    </row>
    <row r="97" spans="1:17">
      <c r="A97" s="8" t="s">
        <v>123</v>
      </c>
      <c r="B97" s="9">
        <v>269</v>
      </c>
      <c r="C97" s="9">
        <v>47</v>
      </c>
      <c r="D97" s="9">
        <v>169</v>
      </c>
      <c r="E97" s="9">
        <v>53</v>
      </c>
      <c r="F97" s="9">
        <v>100</v>
      </c>
      <c r="G97" s="9">
        <v>210</v>
      </c>
      <c r="H97" s="9">
        <v>59</v>
      </c>
      <c r="I97" s="10">
        <v>17.472100000000001</v>
      </c>
      <c r="J97" s="10">
        <v>62.825299999999999</v>
      </c>
      <c r="K97" s="10">
        <v>19.7026</v>
      </c>
      <c r="L97" s="10">
        <v>47</v>
      </c>
      <c r="M97" s="11">
        <v>1.1276999999999999</v>
      </c>
      <c r="N97" s="8" t="str">
        <f>IF(B97&gt;='00_口径与参数'!$B$5,"高覆盖量","低覆盖量")</f>
        <v>低覆盖量</v>
      </c>
      <c r="O97" s="8" t="str">
        <f>IF(M97&gt;='00_口径与参数'!$B$6,"高比值","低比值")</f>
        <v>低比值</v>
      </c>
      <c r="P97" s="8" t="str">
        <f t="shared" si="4"/>
        <v>常规观察</v>
      </c>
      <c r="Q97" s="8" t="str">
        <f t="shared" si="5"/>
        <v>常规观察</v>
      </c>
    </row>
    <row r="98" spans="1:17">
      <c r="A98" s="8" t="s">
        <v>124</v>
      </c>
      <c r="B98" s="9">
        <v>229</v>
      </c>
      <c r="C98" s="9">
        <v>57</v>
      </c>
      <c r="D98" s="9">
        <v>125</v>
      </c>
      <c r="E98" s="9">
        <v>47</v>
      </c>
      <c r="F98" s="9">
        <v>104</v>
      </c>
      <c r="G98" s="9">
        <v>147</v>
      </c>
      <c r="H98" s="9">
        <v>23</v>
      </c>
      <c r="I98" s="10">
        <v>24.890799999999999</v>
      </c>
      <c r="J98" s="10">
        <v>54.5852</v>
      </c>
      <c r="K98" s="10">
        <v>20.524000000000001</v>
      </c>
      <c r="L98" s="10">
        <v>54.807699999999997</v>
      </c>
      <c r="M98" s="11">
        <v>0.8246</v>
      </c>
      <c r="N98" s="8" t="str">
        <f>IF(B98&gt;='00_口径与参数'!$B$5,"高覆盖量","低覆盖量")</f>
        <v>低覆盖量</v>
      </c>
      <c r="O98" s="8" t="str">
        <f>IF(M98&gt;='00_口径与参数'!$B$6,"高比值","低比值")</f>
        <v>低比值</v>
      </c>
      <c r="P98" s="8" t="str">
        <f t="shared" si="4"/>
        <v>常规观察</v>
      </c>
      <c r="Q98" s="8" t="str">
        <f t="shared" si="5"/>
        <v>常规观察</v>
      </c>
    </row>
    <row r="99" spans="1:17">
      <c r="A99" s="8" t="s">
        <v>125</v>
      </c>
      <c r="B99" s="9">
        <v>226</v>
      </c>
      <c r="C99" s="9">
        <v>26</v>
      </c>
      <c r="D99" s="9">
        <v>124</v>
      </c>
      <c r="E99" s="9">
        <v>76</v>
      </c>
      <c r="F99" s="9">
        <v>102</v>
      </c>
      <c r="G99" s="9">
        <v>95</v>
      </c>
      <c r="H99" s="9">
        <v>113</v>
      </c>
      <c r="I99" s="10">
        <v>11.5044</v>
      </c>
      <c r="J99" s="10">
        <v>54.8673</v>
      </c>
      <c r="K99" s="10">
        <v>33.628300000000003</v>
      </c>
      <c r="L99" s="10">
        <v>25.490200000000002</v>
      </c>
      <c r="M99" s="11">
        <v>2.9230999999999998</v>
      </c>
      <c r="N99" s="8" t="str">
        <f>IF(B99&gt;='00_口径与参数'!$B$5,"高覆盖量","低覆盖量")</f>
        <v>低覆盖量</v>
      </c>
      <c r="O99" s="8" t="str">
        <f>IF(M99&gt;='00_口径与参数'!$B$6,"高比值","低比值")</f>
        <v>高比值</v>
      </c>
      <c r="P99" s="8" t="str">
        <f t="shared" ref="P99:P130" si="6">IF(AND(N99="高覆盖量",O99="高比值"),"优先核查",IF(N99="高覆盖量","规模优势/维护",IF(O99="高比值","监控并补样本","常规观察")))</f>
        <v>监控并补样本</v>
      </c>
      <c r="Q99" s="8" t="str">
        <f t="shared" ref="Q99:Q130" si="7">IF(P99="优先核查","拆分至SKU并核查库存/费用/配送/结账",IF(P99="监控并补样本","补样本后再判断",IF(P99="规模优势/维护","维持并监控异常","常规观察")))</f>
        <v>补样本后再判断</v>
      </c>
    </row>
  </sheetData>
  <mergeCells count="1">
    <mergeCell ref="A1:Q1"/>
  </mergeCells>
  <phoneticPr fontId="7" type="noConversion"/>
  <conditionalFormatting sqref="P3:P99">
    <cfRule type="containsText" dxfId="1" priority="1" operator="containsText" text="优先核查"/>
    <cfRule type="containsText" dxfId="0" priority="2" operator="containsText" text="规模优势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showGridLines="0" workbookViewId="0"/>
  </sheetViews>
  <sheetFormatPr defaultRowHeight="14.15"/>
  <cols>
    <col min="1" max="10" width="18" customWidth="1"/>
  </cols>
  <sheetData>
    <row r="1" spans="1:15">
      <c r="A1" s="15" t="s">
        <v>126</v>
      </c>
      <c r="B1" s="16"/>
      <c r="C1" s="16"/>
      <c r="D1" s="16"/>
      <c r="E1" s="16"/>
      <c r="F1" s="16"/>
      <c r="G1" s="16"/>
      <c r="H1" s="16"/>
      <c r="I1" s="16"/>
      <c r="J1" s="16"/>
    </row>
    <row r="2" spans="1:15">
      <c r="A2" s="16"/>
      <c r="B2" s="16"/>
      <c r="C2" s="16"/>
      <c r="D2" s="16"/>
      <c r="E2" s="16"/>
      <c r="F2" s="16"/>
      <c r="G2" s="16"/>
      <c r="H2" s="16"/>
      <c r="I2" s="16"/>
      <c r="J2" s="16"/>
    </row>
    <row r="4" spans="1:15">
      <c r="A4" s="1" t="s">
        <v>127</v>
      </c>
      <c r="B4" s="1" t="s">
        <v>128</v>
      </c>
      <c r="C4" s="1" t="s">
        <v>12</v>
      </c>
      <c r="D4" s="1" t="s">
        <v>13</v>
      </c>
      <c r="E4" s="1" t="s">
        <v>14</v>
      </c>
      <c r="F4" s="1" t="s">
        <v>17</v>
      </c>
      <c r="G4" s="1" t="s">
        <v>4</v>
      </c>
      <c r="H4" s="1" t="s">
        <v>5</v>
      </c>
      <c r="I4" s="1" t="s">
        <v>6</v>
      </c>
      <c r="J4" s="1" t="s">
        <v>18</v>
      </c>
      <c r="L4" t="s">
        <v>129</v>
      </c>
      <c r="M4" t="s">
        <v>17</v>
      </c>
      <c r="N4" t="s">
        <v>4</v>
      </c>
      <c r="O4" t="s">
        <v>5</v>
      </c>
    </row>
    <row r="5" spans="1:15">
      <c r="A5">
        <v>24</v>
      </c>
      <c r="B5" s="5">
        <v>756116</v>
      </c>
      <c r="C5" s="5">
        <v>102649</v>
      </c>
      <c r="D5" s="5">
        <v>500869</v>
      </c>
      <c r="E5" s="5">
        <v>152598</v>
      </c>
      <c r="F5" s="6">
        <v>13.575799999999999</v>
      </c>
      <c r="G5" s="6">
        <v>66.2423</v>
      </c>
      <c r="H5" s="6">
        <v>20.181799999999999</v>
      </c>
      <c r="I5" s="6">
        <v>40.215600000000002</v>
      </c>
      <c r="J5" s="2">
        <v>1.4865999999999999</v>
      </c>
      <c r="L5" t="s">
        <v>130</v>
      </c>
      <c r="M5">
        <v>13.575799999999999</v>
      </c>
      <c r="N5">
        <v>66.2423</v>
      </c>
      <c r="O5">
        <v>20.181799999999999</v>
      </c>
    </row>
    <row r="6" spans="1:15">
      <c r="A6">
        <v>48</v>
      </c>
      <c r="B6" s="5">
        <v>756116</v>
      </c>
      <c r="C6" s="5">
        <v>102841</v>
      </c>
      <c r="D6" s="5">
        <v>500087</v>
      </c>
      <c r="E6" s="5">
        <v>153188</v>
      </c>
      <c r="F6" s="6">
        <v>13.6012</v>
      </c>
      <c r="G6" s="6">
        <v>66.138900000000007</v>
      </c>
      <c r="H6" s="6">
        <v>20.259899999999998</v>
      </c>
      <c r="I6" s="6">
        <v>40.167700000000004</v>
      </c>
      <c r="J6" s="2">
        <v>1.4896</v>
      </c>
      <c r="L6" t="s">
        <v>131</v>
      </c>
      <c r="M6">
        <v>13.6012</v>
      </c>
      <c r="N6">
        <v>66.138900000000007</v>
      </c>
      <c r="O6">
        <v>20.259899999999998</v>
      </c>
    </row>
    <row r="7" spans="1:15">
      <c r="A7">
        <v>72</v>
      </c>
      <c r="B7" s="5">
        <v>756116</v>
      </c>
      <c r="C7" s="5">
        <v>102974</v>
      </c>
      <c r="D7" s="5">
        <v>499656</v>
      </c>
      <c r="E7" s="5">
        <v>153486</v>
      </c>
      <c r="F7" s="6">
        <v>13.6188</v>
      </c>
      <c r="G7" s="6">
        <v>66.081900000000005</v>
      </c>
      <c r="H7" s="6">
        <v>20.299299999999999</v>
      </c>
      <c r="I7" s="6">
        <v>40.152099999999997</v>
      </c>
      <c r="J7" s="2">
        <v>1.4904999999999999</v>
      </c>
      <c r="L7" t="s">
        <v>132</v>
      </c>
      <c r="M7">
        <v>13.6188</v>
      </c>
      <c r="N7">
        <v>66.081900000000005</v>
      </c>
      <c r="O7">
        <v>20.299299999999999</v>
      </c>
    </row>
  </sheetData>
  <mergeCells count="1">
    <mergeCell ref="A1:J2"/>
  </mergeCells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showGridLines="0" workbookViewId="0"/>
  </sheetViews>
  <sheetFormatPr defaultRowHeight="14.15"/>
  <cols>
    <col min="1" max="1" width="34" customWidth="1"/>
    <col min="2" max="2" width="22" customWidth="1"/>
    <col min="4" max="4" width="34" customWidth="1"/>
    <col min="5" max="5" width="22" customWidth="1"/>
    <col min="6" max="7" width="15" customWidth="1"/>
  </cols>
  <sheetData>
    <row r="1" spans="1:8">
      <c r="A1" s="15" t="s">
        <v>133</v>
      </c>
      <c r="B1" s="16"/>
      <c r="C1" s="16"/>
      <c r="D1" s="16"/>
      <c r="E1" s="16"/>
      <c r="F1" s="16"/>
      <c r="G1" s="16"/>
      <c r="H1" s="16"/>
    </row>
    <row r="2" spans="1:8">
      <c r="A2" s="16"/>
      <c r="B2" s="16"/>
      <c r="C2" s="16"/>
      <c r="D2" s="16"/>
      <c r="E2" s="16"/>
      <c r="F2" s="16"/>
      <c r="G2" s="16"/>
      <c r="H2" s="16"/>
    </row>
    <row r="4" spans="1:8">
      <c r="A4" s="1" t="s">
        <v>134</v>
      </c>
      <c r="B4" s="1" t="s">
        <v>135</v>
      </c>
      <c r="D4" s="1" t="s">
        <v>136</v>
      </c>
      <c r="E4" s="1" t="s">
        <v>135</v>
      </c>
    </row>
    <row r="5" spans="1:8">
      <c r="A5" t="s">
        <v>137</v>
      </c>
      <c r="B5">
        <v>927124</v>
      </c>
      <c r="D5" t="s">
        <v>138</v>
      </c>
      <c r="E5">
        <v>3533286</v>
      </c>
    </row>
    <row r="6" spans="1:8">
      <c r="A6" t="s">
        <v>139</v>
      </c>
      <c r="B6">
        <v>648</v>
      </c>
      <c r="D6" t="s">
        <v>140</v>
      </c>
      <c r="E6" t="s">
        <v>141</v>
      </c>
    </row>
    <row r="7" spans="1:8">
      <c r="A7" t="s">
        <v>142</v>
      </c>
      <c r="B7">
        <v>791350</v>
      </c>
      <c r="D7" t="s">
        <v>143</v>
      </c>
      <c r="E7" t="s">
        <v>144</v>
      </c>
    </row>
    <row r="8" spans="1:8">
      <c r="A8" t="s">
        <v>145</v>
      </c>
      <c r="B8">
        <v>772119</v>
      </c>
      <c r="D8" t="s">
        <v>146</v>
      </c>
      <c r="E8">
        <v>31</v>
      </c>
    </row>
    <row r="9" spans="1:8">
      <c r="A9" t="s">
        <v>147</v>
      </c>
      <c r="B9">
        <v>19231</v>
      </c>
      <c r="D9" t="s">
        <v>148</v>
      </c>
      <c r="E9">
        <v>370154</v>
      </c>
    </row>
    <row r="10" spans="1:8">
      <c r="A10" t="s">
        <v>149</v>
      </c>
      <c r="B10" t="s">
        <v>150</v>
      </c>
      <c r="D10" t="s">
        <v>151</v>
      </c>
      <c r="E10">
        <v>839813</v>
      </c>
    </row>
    <row r="11" spans="1:8">
      <c r="A11" t="s">
        <v>152</v>
      </c>
      <c r="B11" t="s">
        <v>153</v>
      </c>
      <c r="D11" t="s">
        <v>154</v>
      </c>
      <c r="E11">
        <v>44624</v>
      </c>
    </row>
    <row r="12" spans="1:8">
      <c r="A12" t="s">
        <v>155</v>
      </c>
      <c r="B12" t="s">
        <v>156</v>
      </c>
      <c r="D12" t="s">
        <v>157</v>
      </c>
      <c r="E12">
        <v>252</v>
      </c>
    </row>
    <row r="13" spans="1:8">
      <c r="A13" t="s">
        <v>158</v>
      </c>
      <c r="B13">
        <v>104696</v>
      </c>
      <c r="D13" t="s">
        <v>159</v>
      </c>
      <c r="E13">
        <v>0</v>
      </c>
    </row>
    <row r="14" spans="1:8">
      <c r="A14" t="s">
        <v>160</v>
      </c>
      <c r="B14">
        <v>511286</v>
      </c>
      <c r="D14" t="s">
        <v>161</v>
      </c>
      <c r="E14">
        <v>779</v>
      </c>
    </row>
    <row r="15" spans="1:8">
      <c r="A15" t="s">
        <v>162</v>
      </c>
      <c r="B15">
        <v>156137</v>
      </c>
      <c r="D15" t="s">
        <v>163</v>
      </c>
      <c r="E15">
        <v>0</v>
      </c>
    </row>
    <row r="16" spans="1:8">
      <c r="A16" t="s">
        <v>159</v>
      </c>
      <c r="B16">
        <v>0</v>
      </c>
      <c r="D16" t="s">
        <v>164</v>
      </c>
      <c r="E16">
        <v>1510289</v>
      </c>
    </row>
    <row r="17" spans="1:7">
      <c r="A17" t="s">
        <v>164</v>
      </c>
      <c r="B17">
        <v>339825</v>
      </c>
      <c r="D17" t="s">
        <v>165</v>
      </c>
      <c r="E17">
        <v>3474821</v>
      </c>
    </row>
    <row r="18" spans="1:7">
      <c r="A18" t="s">
        <v>165</v>
      </c>
      <c r="B18">
        <v>764019</v>
      </c>
      <c r="D18" t="s">
        <v>166</v>
      </c>
      <c r="E18">
        <v>0</v>
      </c>
    </row>
    <row r="19" spans="1:7">
      <c r="A19" t="s">
        <v>167</v>
      </c>
      <c r="B19">
        <v>0</v>
      </c>
      <c r="D19" t="s">
        <v>167</v>
      </c>
      <c r="E19">
        <v>0</v>
      </c>
    </row>
    <row r="20" spans="1:7">
      <c r="A20" t="s">
        <v>168</v>
      </c>
      <c r="B20">
        <v>1106</v>
      </c>
      <c r="D20" t="s">
        <v>168</v>
      </c>
      <c r="E20">
        <v>7607</v>
      </c>
    </row>
    <row r="21" spans="1:7">
      <c r="A21" t="s">
        <v>169</v>
      </c>
      <c r="B21">
        <v>0</v>
      </c>
      <c r="D21" t="s">
        <v>170</v>
      </c>
      <c r="E21">
        <v>0</v>
      </c>
    </row>
    <row r="22" spans="1:7">
      <c r="A22" t="s">
        <v>171</v>
      </c>
      <c r="B22">
        <v>0</v>
      </c>
      <c r="D22" t="s">
        <v>172</v>
      </c>
      <c r="E22">
        <v>183860</v>
      </c>
    </row>
    <row r="23" spans="1:7">
      <c r="A23" t="s">
        <v>173</v>
      </c>
      <c r="B23">
        <v>0</v>
      </c>
    </row>
    <row r="26" spans="1:7">
      <c r="A26" s="1" t="s">
        <v>174</v>
      </c>
      <c r="B26" s="1" t="s">
        <v>175</v>
      </c>
      <c r="C26" s="1" t="s">
        <v>176</v>
      </c>
      <c r="D26" s="1" t="s">
        <v>177</v>
      </c>
      <c r="E26" s="1" t="s">
        <v>178</v>
      </c>
      <c r="F26" s="1" t="s">
        <v>179</v>
      </c>
      <c r="G26" s="1" t="s">
        <v>180</v>
      </c>
    </row>
    <row r="27" spans="1:7">
      <c r="A27" t="s">
        <v>181</v>
      </c>
      <c r="B27">
        <v>772119</v>
      </c>
      <c r="C27">
        <v>772119</v>
      </c>
      <c r="D27">
        <v>0</v>
      </c>
      <c r="E27">
        <v>0</v>
      </c>
      <c r="F27" s="12" t="b">
        <v>1</v>
      </c>
      <c r="G27" t="s">
        <v>182</v>
      </c>
    </row>
    <row r="28" spans="1:7">
      <c r="A28" t="s">
        <v>183</v>
      </c>
      <c r="B28">
        <v>104696</v>
      </c>
      <c r="C28">
        <v>104696</v>
      </c>
      <c r="D28">
        <v>0</v>
      </c>
      <c r="E28">
        <v>0</v>
      </c>
      <c r="F28" s="12" t="b">
        <v>1</v>
      </c>
      <c r="G28" t="s">
        <v>182</v>
      </c>
    </row>
    <row r="29" spans="1:7">
      <c r="A29" t="s">
        <v>184</v>
      </c>
      <c r="B29">
        <v>511286</v>
      </c>
      <c r="C29">
        <v>511286</v>
      </c>
      <c r="D29">
        <v>0</v>
      </c>
      <c r="E29">
        <v>0</v>
      </c>
      <c r="F29" s="12" t="b">
        <v>1</v>
      </c>
      <c r="G29" t="s">
        <v>182</v>
      </c>
    </row>
    <row r="30" spans="1:7">
      <c r="A30" t="s">
        <v>185</v>
      </c>
      <c r="B30">
        <v>156137</v>
      </c>
      <c r="C30">
        <v>156137</v>
      </c>
      <c r="D30">
        <v>0</v>
      </c>
      <c r="E30">
        <v>0</v>
      </c>
      <c r="F30" s="12" t="b">
        <v>1</v>
      </c>
      <c r="G30" t="s">
        <v>182</v>
      </c>
    </row>
    <row r="31" spans="1:7">
      <c r="A31" t="s">
        <v>186</v>
      </c>
      <c r="B31">
        <v>97</v>
      </c>
      <c r="C31">
        <v>97</v>
      </c>
      <c r="D31">
        <v>0</v>
      </c>
      <c r="E31">
        <v>0</v>
      </c>
      <c r="F31" s="12" t="b">
        <v>1</v>
      </c>
      <c r="G31" t="s">
        <v>182</v>
      </c>
    </row>
    <row r="32" spans="1:7">
      <c r="A32" t="s">
        <v>187</v>
      </c>
      <c r="B32">
        <v>0</v>
      </c>
      <c r="C32">
        <v>0</v>
      </c>
      <c r="D32">
        <v>0</v>
      </c>
      <c r="E32">
        <v>0</v>
      </c>
      <c r="F32" s="12" t="b">
        <v>1</v>
      </c>
      <c r="G32" t="s">
        <v>182</v>
      </c>
    </row>
    <row r="33" spans="1:7">
      <c r="A33" t="s">
        <v>188</v>
      </c>
      <c r="B33">
        <v>0</v>
      </c>
      <c r="C33">
        <v>0</v>
      </c>
      <c r="D33">
        <v>0</v>
      </c>
      <c r="E33">
        <v>0</v>
      </c>
      <c r="F33" s="12" t="b">
        <v>1</v>
      </c>
      <c r="G33" t="s">
        <v>182</v>
      </c>
    </row>
    <row r="34" spans="1:7">
      <c r="A34" t="s">
        <v>189</v>
      </c>
      <c r="B34">
        <v>0</v>
      </c>
      <c r="C34">
        <v>0</v>
      </c>
      <c r="D34">
        <v>0</v>
      </c>
      <c r="E34">
        <v>0</v>
      </c>
      <c r="F34" s="12" t="b">
        <v>1</v>
      </c>
      <c r="G34" t="s">
        <v>182</v>
      </c>
    </row>
    <row r="35" spans="1:7">
      <c r="A35" t="s">
        <v>190</v>
      </c>
      <c r="B35">
        <v>0</v>
      </c>
      <c r="C35">
        <v>0</v>
      </c>
      <c r="D35">
        <v>0</v>
      </c>
      <c r="E35">
        <v>0</v>
      </c>
      <c r="F35" s="12" t="b">
        <v>1</v>
      </c>
      <c r="G35" t="s">
        <v>182</v>
      </c>
    </row>
    <row r="36" spans="1:7">
      <c r="A36" t="s">
        <v>191</v>
      </c>
      <c r="B36">
        <v>0</v>
      </c>
      <c r="C36">
        <v>0</v>
      </c>
      <c r="D36">
        <v>0</v>
      </c>
      <c r="E36">
        <v>0</v>
      </c>
      <c r="F36" s="12" t="b">
        <v>1</v>
      </c>
      <c r="G36" t="s">
        <v>182</v>
      </c>
    </row>
    <row r="37" spans="1:7">
      <c r="A37" t="s">
        <v>192</v>
      </c>
      <c r="B37">
        <v>0</v>
      </c>
      <c r="C37">
        <v>0</v>
      </c>
      <c r="D37">
        <v>0</v>
      </c>
      <c r="E37">
        <v>0</v>
      </c>
      <c r="F37" s="12" t="b">
        <v>1</v>
      </c>
      <c r="G37" t="s">
        <v>182</v>
      </c>
    </row>
    <row r="38" spans="1:7">
      <c r="A38" t="s">
        <v>193</v>
      </c>
      <c r="B38">
        <v>0</v>
      </c>
      <c r="C38">
        <v>0</v>
      </c>
      <c r="D38">
        <v>0</v>
      </c>
      <c r="E38">
        <v>0</v>
      </c>
      <c r="F38" s="12" t="b">
        <v>1</v>
      </c>
      <c r="G38" t="s">
        <v>182</v>
      </c>
    </row>
    <row r="39" spans="1:7">
      <c r="A39" t="s">
        <v>194</v>
      </c>
      <c r="B39">
        <v>0</v>
      </c>
      <c r="C39">
        <v>0</v>
      </c>
      <c r="D39">
        <v>0</v>
      </c>
      <c r="E39">
        <v>0</v>
      </c>
      <c r="F39" s="12" t="b">
        <v>1</v>
      </c>
      <c r="G39" t="s">
        <v>182</v>
      </c>
    </row>
    <row r="40" spans="1:7">
      <c r="A40" t="s">
        <v>195</v>
      </c>
      <c r="B40">
        <v>0</v>
      </c>
      <c r="C40">
        <v>0</v>
      </c>
      <c r="D40">
        <v>0</v>
      </c>
      <c r="E40">
        <v>1E-4</v>
      </c>
      <c r="F40" s="12" t="b">
        <v>1</v>
      </c>
      <c r="G40" t="s">
        <v>182</v>
      </c>
    </row>
    <row r="41" spans="1:7">
      <c r="A41" t="s">
        <v>196</v>
      </c>
      <c r="B41">
        <v>0</v>
      </c>
      <c r="C41">
        <v>0</v>
      </c>
      <c r="D41">
        <v>0</v>
      </c>
      <c r="E41">
        <v>1E-4</v>
      </c>
      <c r="F41" s="12" t="b">
        <v>1</v>
      </c>
      <c r="G41" t="s">
        <v>182</v>
      </c>
    </row>
    <row r="42" spans="1:7">
      <c r="A42" t="s">
        <v>197</v>
      </c>
      <c r="B42">
        <v>0</v>
      </c>
      <c r="C42">
        <v>0</v>
      </c>
      <c r="D42">
        <v>0</v>
      </c>
      <c r="E42">
        <v>1E-4</v>
      </c>
      <c r="F42" s="12" t="b">
        <v>1</v>
      </c>
      <c r="G42" t="s">
        <v>182</v>
      </c>
    </row>
    <row r="43" spans="1:7">
      <c r="A43" t="s">
        <v>198</v>
      </c>
      <c r="B43">
        <v>0</v>
      </c>
      <c r="C43">
        <v>0</v>
      </c>
      <c r="D43">
        <v>0</v>
      </c>
      <c r="E43">
        <v>1E-4</v>
      </c>
      <c r="F43" s="12" t="b">
        <v>1</v>
      </c>
      <c r="G43" t="s">
        <v>182</v>
      </c>
    </row>
    <row r="44" spans="1:7">
      <c r="A44" t="s">
        <v>199</v>
      </c>
      <c r="B44">
        <v>0</v>
      </c>
      <c r="C44">
        <v>1.0000000000331966E-4</v>
      </c>
      <c r="D44">
        <v>1.0000000000331966E-4</v>
      </c>
      <c r="E44">
        <v>1E-4</v>
      </c>
      <c r="F44" s="12" t="b">
        <v>1</v>
      </c>
      <c r="G44" t="s">
        <v>182</v>
      </c>
    </row>
    <row r="45" spans="1:7">
      <c r="A45" t="s">
        <v>200</v>
      </c>
      <c r="B45">
        <v>0</v>
      </c>
      <c r="C45">
        <v>0</v>
      </c>
      <c r="D45">
        <v>0</v>
      </c>
      <c r="E45">
        <v>1E-4</v>
      </c>
      <c r="F45" s="12" t="b">
        <v>1</v>
      </c>
      <c r="G45" t="s">
        <v>182</v>
      </c>
    </row>
    <row r="46" spans="1:7">
      <c r="A46" t="s">
        <v>201</v>
      </c>
      <c r="B46">
        <v>0</v>
      </c>
      <c r="C46">
        <v>0</v>
      </c>
      <c r="D46">
        <v>0</v>
      </c>
      <c r="E46">
        <v>0</v>
      </c>
      <c r="F46" s="12" t="b">
        <v>1</v>
      </c>
      <c r="G46" t="s">
        <v>182</v>
      </c>
    </row>
    <row r="47" spans="1:7">
      <c r="A47" t="s">
        <v>202</v>
      </c>
      <c r="B47">
        <v>0</v>
      </c>
      <c r="C47">
        <v>0</v>
      </c>
      <c r="D47">
        <v>0</v>
      </c>
      <c r="E47">
        <v>0</v>
      </c>
      <c r="F47" s="12" t="b">
        <v>1</v>
      </c>
      <c r="G47" t="s">
        <v>182</v>
      </c>
    </row>
    <row r="48" spans="1:7">
      <c r="A48" t="s">
        <v>203</v>
      </c>
      <c r="B48">
        <v>0</v>
      </c>
      <c r="C48">
        <v>369</v>
      </c>
      <c r="D48">
        <v>369</v>
      </c>
      <c r="E48">
        <v>0</v>
      </c>
      <c r="F48" s="12" t="b">
        <v>0</v>
      </c>
      <c r="G48" t="s">
        <v>204</v>
      </c>
    </row>
    <row r="49" spans="1:7">
      <c r="A49" t="s">
        <v>205</v>
      </c>
      <c r="B49">
        <v>1</v>
      </c>
      <c r="C49">
        <v>1</v>
      </c>
      <c r="D49">
        <v>0</v>
      </c>
      <c r="E49">
        <v>0</v>
      </c>
      <c r="F49" s="12" t="b">
        <v>1</v>
      </c>
      <c r="G49" t="s">
        <v>182</v>
      </c>
    </row>
    <row r="50" spans="1:7">
      <c r="A50" t="s">
        <v>206</v>
      </c>
      <c r="B50">
        <v>1</v>
      </c>
      <c r="C50">
        <v>1</v>
      </c>
      <c r="D50">
        <v>0</v>
      </c>
      <c r="E50">
        <v>0</v>
      </c>
      <c r="F50" s="12" t="b">
        <v>1</v>
      </c>
      <c r="G50" t="s">
        <v>182</v>
      </c>
    </row>
    <row r="51" spans="1:7">
      <c r="A51" t="s">
        <v>207</v>
      </c>
      <c r="B51">
        <v>1</v>
      </c>
      <c r="C51">
        <v>1</v>
      </c>
      <c r="D51">
        <v>0</v>
      </c>
      <c r="E51">
        <v>0</v>
      </c>
      <c r="F51" s="12" t="b">
        <v>1</v>
      </c>
      <c r="G51" t="s">
        <v>182</v>
      </c>
    </row>
  </sheetData>
  <mergeCells count="1">
    <mergeCell ref="A1:H2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showGridLines="0" workbookViewId="0"/>
  </sheetViews>
  <sheetFormatPr defaultRowHeight="14.15"/>
  <cols>
    <col min="1" max="1" width="30" customWidth="1"/>
    <col min="2" max="2" width="23" customWidth="1"/>
    <col min="3" max="6" width="22" customWidth="1"/>
  </cols>
  <sheetData>
    <row r="1" spans="1:6">
      <c r="A1" s="15" t="s">
        <v>208</v>
      </c>
      <c r="B1" s="16"/>
      <c r="C1" s="16"/>
      <c r="D1" s="16"/>
      <c r="E1" s="16"/>
      <c r="F1" s="16"/>
    </row>
    <row r="2" spans="1:6">
      <c r="A2" s="16"/>
      <c r="B2" s="16"/>
      <c r="C2" s="16"/>
      <c r="D2" s="16"/>
      <c r="E2" s="16"/>
      <c r="F2" s="16"/>
    </row>
    <row r="4" spans="1:6">
      <c r="A4" s="1" t="s">
        <v>209</v>
      </c>
      <c r="B4" s="1" t="s">
        <v>210</v>
      </c>
      <c r="C4" s="3"/>
      <c r="D4" s="3"/>
      <c r="E4" s="3"/>
      <c r="F4" s="3"/>
    </row>
    <row r="5" spans="1:6" ht="28.3">
      <c r="A5" s="3" t="s">
        <v>211</v>
      </c>
      <c r="B5" s="4">
        <f>MEDIAN('02_品牌优先级'!$B$3:$B$99)</f>
        <v>1342</v>
      </c>
      <c r="C5" s="3"/>
      <c r="D5" s="3"/>
      <c r="E5" s="3"/>
      <c r="F5" s="3"/>
    </row>
    <row r="6" spans="1:6">
      <c r="A6" s="3" t="s">
        <v>212</v>
      </c>
      <c r="B6" s="4">
        <v>1.5</v>
      </c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1" t="s">
        <v>213</v>
      </c>
      <c r="B8" s="1" t="s">
        <v>214</v>
      </c>
      <c r="C8" s="1" t="s">
        <v>215</v>
      </c>
      <c r="D8" s="1" t="s">
        <v>216</v>
      </c>
      <c r="E8" s="1" t="s">
        <v>217</v>
      </c>
      <c r="F8" s="1" t="s">
        <v>218</v>
      </c>
    </row>
    <row r="9" spans="1:6">
      <c r="A9" s="3" t="s">
        <v>3</v>
      </c>
      <c r="B9" s="3" t="s">
        <v>219</v>
      </c>
      <c r="C9" s="3" t="s">
        <v>220</v>
      </c>
      <c r="D9" s="3" t="s">
        <v>221</v>
      </c>
      <c r="E9" s="3" t="s">
        <v>222</v>
      </c>
      <c r="F9" s="3" t="s">
        <v>223</v>
      </c>
    </row>
    <row r="10" spans="1:6">
      <c r="A10" s="3" t="s">
        <v>4</v>
      </c>
      <c r="B10" s="3" t="s">
        <v>224</v>
      </c>
      <c r="C10" s="3" t="s">
        <v>220</v>
      </c>
      <c r="D10" s="3" t="s">
        <v>221</v>
      </c>
      <c r="E10" s="3" t="s">
        <v>225</v>
      </c>
      <c r="F10" s="3" t="s">
        <v>226</v>
      </c>
    </row>
    <row r="11" spans="1:6">
      <c r="A11" s="3" t="s">
        <v>5</v>
      </c>
      <c r="B11" s="3" t="s">
        <v>227</v>
      </c>
      <c r="C11" s="3" t="s">
        <v>220</v>
      </c>
      <c r="D11" s="3" t="s">
        <v>221</v>
      </c>
      <c r="E11" s="3" t="s">
        <v>228</v>
      </c>
      <c r="F11" s="3" t="s">
        <v>229</v>
      </c>
    </row>
    <row r="12" spans="1:6">
      <c r="A12" s="3" t="s">
        <v>6</v>
      </c>
      <c r="B12" s="3" t="s">
        <v>230</v>
      </c>
      <c r="C12" s="3" t="s">
        <v>220</v>
      </c>
      <c r="D12" s="3" t="s">
        <v>231</v>
      </c>
      <c r="E12" s="3" t="s">
        <v>232</v>
      </c>
      <c r="F12" s="3" t="s">
        <v>233</v>
      </c>
    </row>
    <row r="13" spans="1:6">
      <c r="A13" s="3" t="s">
        <v>18</v>
      </c>
      <c r="B13" s="3" t="s">
        <v>234</v>
      </c>
      <c r="C13" s="3" t="s">
        <v>15</v>
      </c>
      <c r="D13" s="3" t="s">
        <v>235</v>
      </c>
      <c r="E13" s="3" t="s">
        <v>236</v>
      </c>
      <c r="F13" s="3" t="s">
        <v>237</v>
      </c>
    </row>
    <row r="14" spans="1:6">
      <c r="A14" s="3" t="s">
        <v>8</v>
      </c>
      <c r="B14" s="3" t="s">
        <v>238</v>
      </c>
      <c r="C14" s="3" t="s">
        <v>220</v>
      </c>
      <c r="D14" s="3" t="s">
        <v>239</v>
      </c>
      <c r="E14" s="3" t="s">
        <v>240</v>
      </c>
      <c r="F14" s="3" t="s">
        <v>241</v>
      </c>
    </row>
  </sheetData>
  <mergeCells count="1">
    <mergeCell ref="A1:F2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showGridLines="0" workbookViewId="0"/>
  </sheetViews>
  <sheetFormatPr defaultRowHeight="14.15"/>
  <cols>
    <col min="1" max="2" width="26" customWidth="1"/>
  </cols>
  <sheetData>
    <row r="1" spans="1:2">
      <c r="A1" s="1" t="s">
        <v>242</v>
      </c>
      <c r="B1" s="1" t="s">
        <v>135</v>
      </c>
    </row>
    <row r="2" spans="1:2">
      <c r="A2" t="s">
        <v>243</v>
      </c>
      <c r="B2">
        <v>772119</v>
      </c>
    </row>
    <row r="3" spans="1:2">
      <c r="A3" t="s">
        <v>244</v>
      </c>
      <c r="B3">
        <v>104696</v>
      </c>
    </row>
    <row r="4" spans="1:2">
      <c r="A4" t="s">
        <v>245</v>
      </c>
      <c r="B4">
        <v>511286</v>
      </c>
    </row>
    <row r="5" spans="1:2">
      <c r="A5" t="s">
        <v>246</v>
      </c>
      <c r="B5">
        <v>156137</v>
      </c>
    </row>
    <row r="6" spans="1:2">
      <c r="A6" t="s">
        <v>148</v>
      </c>
      <c r="B6">
        <v>81401</v>
      </c>
    </row>
    <row r="7" spans="1:2">
      <c r="A7" t="s">
        <v>151</v>
      </c>
      <c r="B7">
        <v>160918</v>
      </c>
    </row>
    <row r="8" spans="1:2">
      <c r="A8" t="s">
        <v>154</v>
      </c>
      <c r="B8">
        <v>35896</v>
      </c>
    </row>
    <row r="9" spans="1:2">
      <c r="A9" t="s">
        <v>157</v>
      </c>
      <c r="B9">
        <v>229</v>
      </c>
    </row>
    <row r="10" spans="1:2">
      <c r="A10" t="s">
        <v>247</v>
      </c>
      <c r="B10">
        <v>432294</v>
      </c>
    </row>
    <row r="11" spans="1:2">
      <c r="A11" t="s">
        <v>248</v>
      </c>
      <c r="B11">
        <v>13.5596</v>
      </c>
    </row>
    <row r="12" spans="1:2">
      <c r="A12" t="s">
        <v>249</v>
      </c>
      <c r="B12">
        <v>66.218500000000006</v>
      </c>
    </row>
    <row r="13" spans="1:2">
      <c r="A13" t="s">
        <v>250</v>
      </c>
      <c r="B13">
        <v>20.221900000000002</v>
      </c>
    </row>
    <row r="14" spans="1:2">
      <c r="A14" t="s">
        <v>251</v>
      </c>
      <c r="B14">
        <v>40.139099999999999</v>
      </c>
    </row>
    <row r="15" spans="1:2">
      <c r="A15" t="s">
        <v>252</v>
      </c>
      <c r="B15">
        <v>1.4913000000000001</v>
      </c>
    </row>
    <row r="16" spans="1:2">
      <c r="A16" t="s">
        <v>253</v>
      </c>
      <c r="B16">
        <v>55.988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01_管理层总览</vt:lpstr>
      <vt:lpstr>02_品牌优先级</vt:lpstr>
      <vt:lpstr>03_窗口敏感性</vt:lpstr>
      <vt:lpstr>04_对账与质量</vt:lpstr>
      <vt:lpstr>00_口径与参数</vt:lpstr>
      <vt:lpstr>05_KPI数据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yixin mo</cp:lastModifiedBy>
  <dcterms:modified xsi:type="dcterms:W3CDTF">2026-07-14T14:44:39Z</dcterms:modified>
</cp:coreProperties>
</file>